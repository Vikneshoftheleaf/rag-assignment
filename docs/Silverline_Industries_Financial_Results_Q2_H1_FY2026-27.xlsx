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shboard" sheetId="2" state="visible" r:id="rId2"/>
    <sheet xmlns:r="http://schemas.openxmlformats.org/officeDocument/2006/relationships" name="Standalone Results" sheetId="3" state="visible" r:id="rId3"/>
    <sheet xmlns:r="http://schemas.openxmlformats.org/officeDocument/2006/relationships" name="Consolidated Results" sheetId="4" state="visible" r:id="rId4"/>
    <sheet xmlns:r="http://schemas.openxmlformats.org/officeDocument/2006/relationships" name="EPS &amp; Ratios" sheetId="5" state="visible" r:id="rId5"/>
    <sheet xmlns:r="http://schemas.openxmlformats.org/officeDocument/2006/relationships" name="Segment Information" sheetId="6" state="visible" r:id="rId6"/>
    <sheet xmlns:r="http://schemas.openxmlformats.org/officeDocument/2006/relationships" name="Balance Sheet" sheetId="7" state="visible" r:id="rId7"/>
    <sheet xmlns:r="http://schemas.openxmlformats.org/officeDocument/2006/relationships" name="Cash Flow" sheetId="8" state="visible" r:id="rId8"/>
    <sheet xmlns:r="http://schemas.openxmlformats.org/officeDocument/2006/relationships" name="Notes to Results" sheetId="9" state="visible" r:id="rId9"/>
    <sheet xmlns:r="http://schemas.openxmlformats.org/officeDocument/2006/relationships" name="Filing Checklist" sheetId="10" state="visible" r:id="rId10"/>
  </sheets>
  <definedNames>
    <definedName name="_xlnm._FilterDatabase" localSheetId="2" hidden="1">'Standalone Results'!$A$6:$F$32</definedName>
    <definedName name="_xlnm._FilterDatabase" localSheetId="3" hidden="1">'Consolidated Results'!$A$6:$F$34</definedName>
    <definedName name="_xlnm._FilterDatabase" localSheetId="9" hidden="1">'Filing Checklist'!$A$4:$F$21</definedName>
  </definedNames>
  <calcPr calcId="124519" fullCalcOnLoad="1"/>
</workbook>
</file>

<file path=xl/styles.xml><?xml version="1.0" encoding="utf-8"?>
<styleSheet xmlns="http://schemas.openxmlformats.org/spreadsheetml/2006/main">
  <numFmts count="3">
    <numFmt numFmtId="164" formatCode="#,##0.0;[Red](#,##0.0);-"/>
    <numFmt numFmtId="165" formatCode="0.0%;[Red](0.0%);-"/>
    <numFmt numFmtId="166" formatCode="0.0%"/>
  </numFmts>
  <fonts count="10">
    <font>
      <name val="Calibri"/>
      <family val="2"/>
      <color theme="1"/>
      <sz val="11"/>
      <scheme val="minor"/>
    </font>
    <font>
      <name val="Aptos Display"/>
      <b val="1"/>
      <color rgb="00FFFFFF"/>
      <sz val="16"/>
    </font>
    <font>
      <name val="Aptos"/>
      <i val="1"/>
      <color rgb="0064748B"/>
      <sz val="9"/>
    </font>
    <font>
      <b val="1"/>
      <color rgb="009F2D2D"/>
      <sz val="11"/>
    </font>
    <font>
      <b val="1"/>
      <color rgb="00142B4A"/>
    </font>
    <font>
      <color rgb="0017212F"/>
      <sz val="9"/>
    </font>
    <font>
      <name val="Aptos"/>
      <b val="1"/>
      <color rgb="00FFFFFF"/>
      <sz val="9"/>
    </font>
    <font>
      <name val="Aptos"/>
      <color rgb="0017212F"/>
      <sz val="9"/>
    </font>
    <font>
      <b val="1"/>
      <color rgb="00142B4A"/>
      <sz val="12"/>
    </font>
    <font>
      <b val="1"/>
      <color rgb="009F2D2D"/>
    </font>
  </fonts>
  <fills count="7">
    <fill>
      <patternFill/>
    </fill>
    <fill>
      <patternFill patternType="gray125"/>
    </fill>
    <fill>
      <patternFill patternType="solid">
        <fgColor rgb="00142B4A"/>
      </patternFill>
    </fill>
    <fill>
      <patternFill patternType="solid">
        <fgColor rgb="00EEF3F8"/>
      </patternFill>
    </fill>
    <fill>
      <patternFill patternType="solid">
        <fgColor rgb="00FCE8E6"/>
      </patternFill>
    </fill>
    <fill>
      <patternFill patternType="solid">
        <fgColor rgb="001D5B87"/>
      </patternFill>
    </fill>
    <fill>
      <patternFill patternType="solid">
        <fgColor rgb="00F7F9FC"/>
      </patternFill>
    </fill>
  </fills>
  <borders count="3">
    <border>
      <left/>
      <right/>
      <top/>
      <bottom/>
      <diagonal/>
    </border>
    <border>
      <bottom style="medium">
        <color rgb="00142B4A"/>
      </bottom>
    </border>
    <border>
      <bottom style="thin">
        <color rgb="00D7DEE8"/>
      </bottom>
    </border>
  </borders>
  <cellStyleXfs count="1">
    <xf numFmtId="0" fontId="0" fillId="0" borderId="0"/>
  </cellStyleXfs>
  <cellXfs count="21">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0" borderId="0" applyAlignment="1" pivotButton="0" quotePrefix="0" xfId="0">
      <alignment vertical="top" wrapText="1"/>
    </xf>
    <xf numFmtId="0" fontId="0" fillId="4" borderId="0" applyAlignment="1" pivotButton="0" quotePrefix="0" xfId="0">
      <alignment vertical="top" wrapText="1"/>
    </xf>
    <xf numFmtId="0" fontId="4" fillId="3" borderId="0" applyAlignment="1" pivotButton="0" quotePrefix="0" xfId="0">
      <alignment vertical="top" wrapText="1"/>
    </xf>
    <xf numFmtId="0" fontId="5" fillId="0" borderId="0" applyAlignment="1" pivotButton="0" quotePrefix="0" xfId="0">
      <alignment vertical="top" wrapText="1"/>
    </xf>
    <xf numFmtId="0" fontId="6" fillId="5" borderId="1" applyAlignment="1" pivotButton="0" quotePrefix="0" xfId="0">
      <alignment vertical="center" wrapText="1"/>
    </xf>
    <xf numFmtId="0" fontId="7" fillId="0" borderId="2" applyAlignment="1" pivotButton="0" quotePrefix="0" xfId="0">
      <alignment vertical="top" wrapText="1"/>
    </xf>
    <xf numFmtId="164" fontId="7" fillId="0" borderId="2" applyAlignment="1" pivotButton="0" quotePrefix="0" xfId="0">
      <alignment vertical="top" wrapText="1"/>
    </xf>
    <xf numFmtId="165" fontId="7" fillId="0" borderId="2" applyAlignment="1" pivotButton="0" quotePrefix="0" xfId="0">
      <alignment vertical="top" wrapText="1"/>
    </xf>
    <xf numFmtId="0" fontId="7" fillId="6" borderId="2" applyAlignment="1" pivotButton="0" quotePrefix="0" xfId="0">
      <alignment vertical="top" wrapText="1"/>
    </xf>
    <xf numFmtId="164" fontId="7" fillId="6" borderId="2" applyAlignment="1" pivotButton="0" quotePrefix="0" xfId="0">
      <alignment vertical="top" wrapText="1"/>
    </xf>
    <xf numFmtId="165" fontId="7" fillId="6" borderId="2" applyAlignment="1" pivotButton="0" quotePrefix="0" xfId="0">
      <alignment vertical="top" wrapText="1"/>
    </xf>
    <xf numFmtId="2" fontId="7" fillId="6" borderId="2" applyAlignment="1" pivotButton="0" quotePrefix="0" xfId="0">
      <alignment vertical="top" wrapText="1"/>
    </xf>
    <xf numFmtId="0" fontId="8" fillId="0" borderId="0" applyAlignment="1" pivotButton="0" quotePrefix="0" xfId="0">
      <alignment vertical="top" wrapText="1"/>
    </xf>
    <xf numFmtId="0" fontId="9" fillId="4" borderId="0" applyAlignment="1" pivotButton="0" quotePrefix="0" xfId="0">
      <alignment vertical="top" wrapText="1"/>
    </xf>
    <xf numFmtId="0" fontId="4" fillId="3" borderId="2" applyAlignment="1" pivotButton="0" quotePrefix="0" xfId="0">
      <alignment vertical="top" wrapText="1"/>
    </xf>
    <xf numFmtId="164" fontId="4" fillId="3" borderId="2" applyAlignment="1" pivotButton="0" quotePrefix="0" xfId="0">
      <alignment vertical="top" wrapText="1"/>
    </xf>
    <xf numFmtId="2" fontId="7" fillId="0" borderId="2" applyAlignment="1" pivotButton="0" quotePrefix="0" xfId="0">
      <alignment vertical="top" wrapText="1"/>
    </xf>
    <xf numFmtId="166" fontId="7" fillId="6" borderId="2" applyAlignment="1" pivotButton="0" quotePrefix="0" xfId="0">
      <alignment vertical="top" wrapText="1"/>
    </xf>
  </cellXfs>
  <cellStyles count="1">
    <cellStyle name="Normal" xfId="0" builtinId="0" hidden="0"/>
  </cellStyles>
  <dxfs count="1">
    <dxf>
      <fill>
        <patternFill patternType="solid">
          <fgColor rgb="00FCE8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OpenAI</author>
  </authors>
  <commentList>
    <comment ref="A4" authorId="0" shapeId="0">
      <text>
        <t>All figures are fictional. This is not a prescribed exchange format and must not be filed.</t>
      </text>
    </comment>
  </commentList>
</comments>
</file>

<file path=xl/comments/comment2.xml><?xml version="1.0" encoding="utf-8"?>
<comments xmlns="http://schemas.openxmlformats.org/spreadsheetml/2006/main">
  <authors>
    <author>OpenAI</author>
  </authors>
  <commentList>
    <comment ref="D39" authorId="0" shapeId="0">
      <text>
        <t>A balance check should equal zero in a reconciled real balance sheet. Investigate any difference.</t>
      </text>
    </comment>
  </commentList>
</comments>
</file>

<file path=xl/comments/comment3.xml><?xml version="1.0" encoding="utf-8"?>
<comments xmlns="http://schemas.openxmlformats.org/spreadsheetml/2006/main">
  <authors>
    <author>OpenAI</author>
  </authors>
  <commentList>
    <comment ref="D30" authorId="0" shapeId="0">
      <text>
        <t>Closing cash should reconcile to the balance sheet and cash equivalents disclosure in actual statements.</t>
      </text>
    </comment>
  </commentList>
</comments>
</file>

<file path=xl/tables/table1.xml><?xml version="1.0" encoding="utf-8"?>
<table xmlns="http://schemas.openxmlformats.org/spreadsheetml/2006/main" id="1" name="NotesResultsTable" displayName="NotesResultsTable" ref="A4:D16" headerRowCount="1">
  <autoFilter ref="A4:D16"/>
  <tableColumns count="4">
    <tableColumn id="1" name="Note"/>
    <tableColumn id="2" name="Topic"/>
    <tableColumn id="3" name="Illustrative disclosure / explanation"/>
    <tableColumn id="4" name="Owner / source"/>
  </tableColumns>
  <tableStyleInfo name="TableStyleMedium2" showRowStripes="1" showColumnStripes="0"/>
</table>
</file>

<file path=xl/tables/table2.xml><?xml version="1.0" encoding="utf-8"?>
<table xmlns="http://schemas.openxmlformats.org/spreadsheetml/2006/main" id="2" name="FilingChecklistTable" displayName="FilingChecklistTable" ref="A4:F21" headerRowCount="1">
  <autoFilter ref="A4:F21"/>
  <tableColumns count="6">
    <tableColumn id="1" name="Control ID"/>
    <tableColumn id="2" name="Check"/>
    <tableColumn id="3" name="Evidence / source"/>
    <tableColumn id="4" name="Owner"/>
    <tableColumn id="5" name="Status"/>
    <tableColumn id="6" name="Reviewer comment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table" Target="/xl/tables/table1.xml" Id="rId1"/></Relationships>
</file>

<file path=xl/worksheets/_rels/sheet10.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5"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ht="30" customHeight="1">
      <c r="A1" s="1" t="inlineStr">
        <is>
          <t>SILVERLINE INDUSTRIES LIMITED</t>
        </is>
      </c>
    </row>
    <row r="2" ht="31" customHeight="1">
      <c r="A2" s="2" t="inlineStr">
        <is>
          <t>Financial Results workbook — Q2 and half year ended 30 September 2026 | fictional illustrative data only</t>
        </is>
      </c>
    </row>
    <row r="3"/>
    <row r="4" ht="52" customHeight="1">
      <c r="A4" s="3" t="inlineStr">
        <is>
          <t>IMPORTANT</t>
        </is>
      </c>
      <c r="B4" s="4" t="inlineStr">
        <is>
          <t>This workbook contains entirely fictional data for a fictional company. It is a working model for demonstration only and is not an audited/limited-reviewed statement, an exchange filing, or investment information. Do not file or rely on it without replacing all data and having Finance, the auditor and Company Secretary validate it.</t>
        </is>
      </c>
    </row>
    <row r="5"/>
    <row r="6" ht="31" customHeight="1">
      <c r="A6" s="5" t="inlineStr">
        <is>
          <t>Company</t>
        </is>
      </c>
      <c r="B6" s="6" t="inlineStr">
        <is>
          <t>Silverline Industries Limited — fictional listed Indian company.</t>
        </is>
      </c>
    </row>
    <row r="7" ht="31" customHeight="1">
      <c r="A7" s="5" t="inlineStr">
        <is>
          <t>Reporting period</t>
        </is>
      </c>
      <c r="B7" s="6" t="inlineStr">
        <is>
          <t>Quarter and half year ended 30 September 2026 (Q2 / H1 FY 2026–27).</t>
        </is>
      </c>
    </row>
    <row r="8" ht="31" customHeight="1">
      <c r="A8" s="5" t="inlineStr">
        <is>
          <t>Units</t>
        </is>
      </c>
      <c r="B8" s="6" t="inlineStr">
        <is>
          <t>₹ crore unless specified; per-share figures in ₹; share count in crore shares where indicated.</t>
        </is>
      </c>
    </row>
    <row r="9" ht="31" customHeight="1">
      <c r="A9" s="5" t="inlineStr">
        <is>
          <t>Workbook structure</t>
        </is>
      </c>
      <c r="B9" s="6" t="inlineStr">
        <is>
          <t>Summary dashboard, standalone results, consolidated results, segment information, balance sheet, cash flow, EPS, notes, and filing checklist.</t>
        </is>
      </c>
    </row>
    <row r="10" ht="31" customHeight="1">
      <c r="A10" s="5" t="inlineStr">
        <is>
          <t>Data status</t>
        </is>
      </c>
      <c r="B10" s="6" t="inlineStr">
        <is>
          <t>All figures are invented to provide an internally consistent sample. No real company or security is represented.</t>
        </is>
      </c>
    </row>
    <row r="11" ht="31" customHeight="1">
      <c r="A11" s="5" t="inlineStr">
        <is>
          <t>Formula use</t>
        </is>
      </c>
      <c r="B11" s="6" t="inlineStr">
        <is>
          <t>Totals and selected ratios are formula-driven. Some line items are illustrative assumptions and must be reconciled to actual trial balances and reporting schedules.</t>
        </is>
      </c>
    </row>
    <row r="12" ht="31" customHeight="1">
      <c r="A12" s="5" t="inlineStr">
        <is>
          <t>Regulatory format</t>
        </is>
      </c>
      <c r="B12" s="6" t="inlineStr">
        <is>
          <t>The workbook is a management-style detailed model. It is not a substitute for the prescribed SEBI LODR Regulation 33 results format, XBRL filing, auditor report or stock-exchange templates.</t>
        </is>
      </c>
    </row>
    <row r="13" ht="31" customHeight="1">
      <c r="A13" s="5" t="inlineStr">
        <is>
          <t>Review controls</t>
        </is>
      </c>
      <c r="B13" s="6" t="inlineStr">
        <is>
          <t>Confirm standalone/consolidated perimeter, accounting policies, Ind AS requirements, comparative periods, segment reporting, EPS, tax, cash flow, audit/review report, Board approval, and exchange filing requirements.</t>
        </is>
      </c>
    </row>
    <row r="14" ht="31" customHeight="1">
      <c r="A14" s="5" t="inlineStr">
        <is>
          <t>No implied approval</t>
        </is>
      </c>
      <c r="B14" s="6" t="inlineStr">
        <is>
          <t>Although the earlier fictional Board-meeting sample said results were approved, this workbook remains an illustrative sample and is not evidence of actual approval.</t>
        </is>
      </c>
    </row>
  </sheetData>
  <mergeCells count="12">
    <mergeCell ref="B8:H8"/>
    <mergeCell ref="B14:H14"/>
    <mergeCell ref="B9:H9"/>
    <mergeCell ref="B13:H13"/>
    <mergeCell ref="B4:H4"/>
    <mergeCell ref="A2:H2"/>
    <mergeCell ref="B12:H12"/>
    <mergeCell ref="B6:H6"/>
    <mergeCell ref="B7:H7"/>
    <mergeCell ref="A1:H1"/>
    <mergeCell ref="B10:H10"/>
    <mergeCell ref="B11:H11"/>
  </mergeCells>
  <pageMargins left="0.25" right="0.25" top="0.45" bottom="0.45" header="0.5" footer="0.5"/>
  <pageSetup orientation="landscape" fitToHeight="0" fitToWidth="1"/>
  <headerFooter>
    <oddHeader>&amp;C&amp;8 &amp;BSILVERLINE INDUSTRIES LIMITED — FICTIONAL SAMPLE</oddHeader>
    <oddFooter>&amp;R&amp;8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17"/>
  <sheetViews>
    <sheetView showGridLines="0" zoomScale="90"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0" customHeight="1">
      <c r="A1" s="1" t="inlineStr">
        <is>
          <t>FINANCIAL RESULTS — DASHBOARD</t>
        </is>
      </c>
    </row>
    <row r="2" ht="31" customHeight="1">
      <c r="A2" s="2" t="inlineStr">
        <is>
          <t>Illustrative highlights for the quarter and half year ended 30 September 2026 | ₹ crore unless stated</t>
        </is>
      </c>
    </row>
    <row r="3"/>
    <row r="4" ht="32" customHeight="1">
      <c r="A4" s="7" t="inlineStr">
        <is>
          <t>Key metric</t>
        </is>
      </c>
      <c r="B4" s="7" t="inlineStr">
        <is>
          <t>Q2 FY27</t>
        </is>
      </c>
      <c r="C4" s="7" t="inlineStr">
        <is>
          <t>Q2 FY26</t>
        </is>
      </c>
      <c r="D4" s="7" t="inlineStr">
        <is>
          <t>YoY change</t>
        </is>
      </c>
      <c r="E4" s="7" t="inlineStr">
        <is>
          <t>H1 FY27</t>
        </is>
      </c>
      <c r="F4" s="7" t="inlineStr">
        <is>
          <t>H1 FY26</t>
        </is>
      </c>
      <c r="G4" s="7" t="inlineStr">
        <is>
          <t>YoY change</t>
        </is>
      </c>
      <c r="H4" s="7" t="inlineStr">
        <is>
          <t>Comment</t>
        </is>
      </c>
    </row>
    <row r="5">
      <c r="A5" s="8" t="inlineStr">
        <is>
          <t>Revenue from operations</t>
        </is>
      </c>
      <c r="B5" s="9">
        <f>'Standalone Results'!B7</f>
        <v/>
      </c>
      <c r="C5" s="9">
        <f>'Standalone Results'!C7</f>
        <v/>
      </c>
      <c r="D5" s="10">
        <f>IFERROR(B5/C5-1,0)</f>
        <v/>
      </c>
      <c r="E5" s="9">
        <f>'Standalone Results'!D7</f>
        <v/>
      </c>
      <c r="F5" s="9">
        <f>'Standalone Results'!E7</f>
        <v/>
      </c>
      <c r="G5" s="10">
        <f>IFERROR(E5/F5-1,0)</f>
        <v/>
      </c>
      <c r="H5" s="8" t="inlineStr">
        <is>
          <t>Growth across quarter and half year</t>
        </is>
      </c>
    </row>
    <row r="6">
      <c r="A6" s="11" t="inlineStr">
        <is>
          <t>Total income</t>
        </is>
      </c>
      <c r="B6" s="12">
        <f>'Standalone Results'!B10</f>
        <v/>
      </c>
      <c r="C6" s="12">
        <f>'Standalone Results'!C10</f>
        <v/>
      </c>
      <c r="D6" s="13">
        <f>IFERROR(B6/C6-1,0)</f>
        <v/>
      </c>
      <c r="E6" s="12">
        <f>'Standalone Results'!D10</f>
        <v/>
      </c>
      <c r="F6" s="12">
        <f>'Standalone Results'!E10</f>
        <v/>
      </c>
      <c r="G6" s="13">
        <f>IFERROR(E6/F6-1,0)</f>
        <v/>
      </c>
      <c r="H6" s="11" t="inlineStr">
        <is>
          <t>Includes other income</t>
        </is>
      </c>
    </row>
    <row r="7">
      <c r="A7" s="8" t="inlineStr">
        <is>
          <t>Profit before tax</t>
        </is>
      </c>
      <c r="B7" s="9">
        <f>'Standalone Results'!B20</f>
        <v/>
      </c>
      <c r="C7" s="9">
        <f>'Standalone Results'!C20</f>
        <v/>
      </c>
      <c r="D7" s="10">
        <f>IFERROR(B7/C7-1,0)</f>
        <v/>
      </c>
      <c r="E7" s="9">
        <f>'Standalone Results'!D20</f>
        <v/>
      </c>
      <c r="F7" s="9">
        <f>'Standalone Results'!E20</f>
        <v/>
      </c>
      <c r="G7" s="10">
        <f>IFERROR(E7/F7-1,0)</f>
        <v/>
      </c>
      <c r="H7" s="8" t="inlineStr">
        <is>
          <t>Before tax</t>
        </is>
      </c>
    </row>
    <row r="8">
      <c r="A8" s="11" t="inlineStr">
        <is>
          <t>Profit after tax</t>
        </is>
      </c>
      <c r="B8" s="12">
        <f>'Standalone Results'!B22</f>
        <v/>
      </c>
      <c r="C8" s="12">
        <f>'Standalone Results'!C22</f>
        <v/>
      </c>
      <c r="D8" s="13">
        <f>IFERROR(B8/C8-1,0)</f>
        <v/>
      </c>
      <c r="E8" s="12">
        <f>'Standalone Results'!D22</f>
        <v/>
      </c>
      <c r="F8" s="12">
        <f>'Standalone Results'!E22</f>
        <v/>
      </c>
      <c r="G8" s="13">
        <f>IFERROR(E8/F8-1,0)</f>
        <v/>
      </c>
      <c r="H8" s="11" t="inlineStr">
        <is>
          <t>After tax</t>
        </is>
      </c>
    </row>
    <row r="9">
      <c r="A9" s="8" t="inlineStr">
        <is>
          <t>PAT margin</t>
        </is>
      </c>
      <c r="B9" s="10">
        <f>IFERROR(B8/B5,0)</f>
        <v/>
      </c>
      <c r="C9" s="10">
        <f>IFERROR(C8/C5,0)</f>
        <v/>
      </c>
      <c r="D9" s="10">
        <f>B9-C9</f>
        <v/>
      </c>
      <c r="E9" s="10">
        <f>IFERROR(E8/E5,0)</f>
        <v/>
      </c>
      <c r="F9" s="10">
        <f>IFERROR(F8/F5,0)</f>
        <v/>
      </c>
      <c r="G9" s="10">
        <f>E9-F9</f>
        <v/>
      </c>
      <c r="H9" s="8" t="inlineStr">
        <is>
          <t>PAT / revenue</t>
        </is>
      </c>
    </row>
    <row r="10">
      <c r="A10" s="11" t="inlineStr">
        <is>
          <t>Basic EPS (₹)</t>
        </is>
      </c>
      <c r="B10" s="14">
        <f>'EPS &amp; Ratios'!B7</f>
        <v/>
      </c>
      <c r="C10" s="14">
        <f>'EPS &amp; Ratios'!C7</f>
        <v/>
      </c>
      <c r="D10" s="13">
        <f>IFERROR(B10/C10-1,0)</f>
        <v/>
      </c>
      <c r="E10" s="14">
        <f>'EPS &amp; Ratios'!D7</f>
        <v/>
      </c>
      <c r="F10" s="14">
        <f>'EPS &amp; Ratios'!E7</f>
        <v/>
      </c>
      <c r="G10" s="13">
        <f>IFERROR(D10/E10-1,0)</f>
        <v/>
      </c>
      <c r="H10" s="11" t="inlineStr">
        <is>
          <t>₹ per equity share</t>
        </is>
      </c>
    </row>
    <row r="11"/>
    <row r="12"/>
    <row r="13">
      <c r="A13" s="15" t="inlineStr">
        <is>
          <t>Narrative highlights (illustrative)</t>
        </is>
      </c>
    </row>
    <row r="14" ht="24" customHeight="1">
      <c r="A14" s="6" t="inlineStr">
        <is>
          <t>• Revenue from operations increased year-on-year in Q2 and H1 in this fictional scenario.</t>
        </is>
      </c>
    </row>
    <row r="15" ht="24" customHeight="1">
      <c r="A15" s="6" t="inlineStr">
        <is>
          <t>• Profitability improved in the sample data; management commentary would need to be tied to verified operational drivers.</t>
        </is>
      </c>
    </row>
    <row r="16" ht="24" customHeight="1">
      <c r="A16" s="6" t="inlineStr">
        <is>
          <t>• Segment information, balance sheet, cash flow and EPS tabs provide supporting schedules for review.</t>
        </is>
      </c>
    </row>
    <row r="17" ht="24" customHeight="1">
      <c r="A17" s="6" t="inlineStr">
        <is>
          <t>• All financial numbers are illustrative and must be replaced with validated company records before use.</t>
        </is>
      </c>
    </row>
  </sheetData>
  <mergeCells count="6">
    <mergeCell ref="A15:H15"/>
    <mergeCell ref="A16:H16"/>
    <mergeCell ref="A2:H2"/>
    <mergeCell ref="A14:H14"/>
    <mergeCell ref="A1:H1"/>
    <mergeCell ref="A17:H17"/>
  </mergeCells>
  <pageMargins left="0.25" right="0.25" top="0.45" bottom="0.45" header="0.5" footer="0.5"/>
  <pageSetup orientation="landscape" fitToHeight="0" fitToWidth="1"/>
  <headerFooter>
    <oddHeader>&amp;C&amp;8 &amp;BSILVERLINE INDUSTRIES LIMITED — FICTIONAL SAMPLE</oddHeader>
    <oddFooter>&amp;R&amp;8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32"/>
  <sheetViews>
    <sheetView showGridLines="0" zoomScale="90" workbookViewId="0">
      <pane xSplit="1" ySplit="6" topLeftCell="B7" activePane="bottomRight" state="frozen"/>
      <selection pane="topRight"/>
      <selection pane="bottomLeft"/>
      <selection pane="bottomRight" activeCell="A1" sqref="A1"/>
    </sheetView>
  </sheetViews>
  <sheetFormatPr baseColWidth="8" defaultRowHeight="15"/>
  <cols>
    <col width="52" customWidth="1" min="1" max="1"/>
    <col width="18" customWidth="1" min="2" max="2"/>
    <col width="18" customWidth="1" min="3" max="3"/>
    <col width="18" customWidth="1" min="4" max="4"/>
    <col width="18" customWidth="1" min="5" max="5"/>
    <col width="18" customWidth="1" min="6" max="6"/>
  </cols>
  <sheetData>
    <row r="1" ht="30" customHeight="1">
      <c r="A1" s="1" t="inlineStr">
        <is>
          <t>UNAUDITED STANDALONE FINANCIAL RESULTS</t>
        </is>
      </c>
    </row>
    <row r="2" ht="31" customHeight="1">
      <c r="A2" s="2" t="inlineStr">
        <is>
          <t>For the quarter and half year ended 30 September 2026 | ₹ crore except EPS</t>
        </is>
      </c>
    </row>
    <row r="3"/>
    <row r="4">
      <c r="A4" s="16" t="inlineStr">
        <is>
          <t>Fictional illustrative figures only — not an Ind AS / stock-exchange filing format</t>
        </is>
      </c>
    </row>
    <row r="5"/>
    <row r="6" ht="32" customHeight="1">
      <c r="A6" s="7" t="inlineStr">
        <is>
          <t>Particulars</t>
        </is>
      </c>
      <c r="B6" s="7" t="inlineStr">
        <is>
          <t>Quarter ended 30-Sep-2026</t>
        </is>
      </c>
      <c r="C6" s="7" t="inlineStr">
        <is>
          <t>Quarter ended 30-Sep-2025</t>
        </is>
      </c>
      <c r="D6" s="7" t="inlineStr">
        <is>
          <t>Half year ended 30-Sep-2026</t>
        </is>
      </c>
      <c r="E6" s="7" t="inlineStr">
        <is>
          <t>Half year ended 30-Sep-2025</t>
        </is>
      </c>
      <c r="F6" s="7" t="inlineStr">
        <is>
          <t>Notes / reference</t>
        </is>
      </c>
    </row>
    <row r="7">
      <c r="A7" s="8" t="inlineStr">
        <is>
          <t>I. Revenue from operations</t>
        </is>
      </c>
      <c r="B7" s="9" t="n">
        <v>1245.6</v>
      </c>
      <c r="C7" s="9" t="n">
        <v>1108.2</v>
      </c>
      <c r="D7" s="9" t="n">
        <v>2430.8</v>
      </c>
      <c r="E7" s="9" t="n">
        <v>2165.4</v>
      </c>
      <c r="F7" s="8" t="inlineStr"/>
    </row>
    <row r="8">
      <c r="A8" s="11" t="inlineStr">
        <is>
          <t>II. Other income</t>
        </is>
      </c>
      <c r="B8" s="12" t="n">
        <v>18.4</v>
      </c>
      <c r="C8" s="12" t="n">
        <v>15.1</v>
      </c>
      <c r="D8" s="12" t="n">
        <v>35.2</v>
      </c>
      <c r="E8" s="12" t="n">
        <v>29.8</v>
      </c>
      <c r="F8" s="11" t="inlineStr"/>
    </row>
    <row r="9">
      <c r="A9" s="17" t="inlineStr">
        <is>
          <t>III. Total income (I + II)</t>
        </is>
      </c>
      <c r="B9" s="18">
        <f>B7+B8</f>
        <v/>
      </c>
      <c r="C9" s="18">
        <f>C7+C8</f>
        <v/>
      </c>
      <c r="D9" s="18">
        <f>D7+D8</f>
        <v/>
      </c>
      <c r="E9" s="18">
        <f>E7+E8</f>
        <v/>
      </c>
      <c r="F9" s="17" t="inlineStr">
        <is>
          <t>Formula</t>
        </is>
      </c>
    </row>
    <row r="10">
      <c r="A10" s="11" t="inlineStr">
        <is>
          <t>IV. Expenses</t>
        </is>
      </c>
      <c r="B10" s="12" t="inlineStr"/>
      <c r="C10" s="12" t="inlineStr"/>
      <c r="D10" s="12" t="inlineStr"/>
      <c r="E10" s="12" t="inlineStr"/>
      <c r="F10" s="11" t="inlineStr"/>
    </row>
    <row r="11">
      <c r="A11" s="8" t="inlineStr">
        <is>
          <t>Cost of materials consumed</t>
        </is>
      </c>
      <c r="B11" s="9" t="n">
        <v>630.5</v>
      </c>
      <c r="C11" s="9" t="n">
        <v>574.1</v>
      </c>
      <c r="D11" s="9" t="n">
        <v>1220</v>
      </c>
      <c r="E11" s="9" t="n">
        <v>1118</v>
      </c>
      <c r="F11" s="8" t="inlineStr"/>
    </row>
    <row r="12">
      <c r="A12" s="11" t="inlineStr">
        <is>
          <t>Purchases of stock-in-trade</t>
        </is>
      </c>
      <c r="B12" s="12" t="n">
        <v>45</v>
      </c>
      <c r="C12" s="12" t="n">
        <v>41.5</v>
      </c>
      <c r="D12" s="12" t="n">
        <v>90.2</v>
      </c>
      <c r="E12" s="12" t="n">
        <v>82.3</v>
      </c>
      <c r="F12" s="11" t="inlineStr"/>
    </row>
    <row r="13">
      <c r="A13" s="8" t="inlineStr">
        <is>
          <t>Changes in inventories of finished goods, WIP and stock-in-trade</t>
        </is>
      </c>
      <c r="B13" s="9" t="n">
        <v>-8.4</v>
      </c>
      <c r="C13" s="9" t="n">
        <v>-5.7</v>
      </c>
      <c r="D13" s="9" t="n">
        <v>-15.3</v>
      </c>
      <c r="E13" s="9" t="n">
        <v>-9.199999999999999</v>
      </c>
      <c r="F13" s="8" t="inlineStr">
        <is>
          <t>Negative expense reflects inventory build (illustrative).</t>
        </is>
      </c>
    </row>
    <row r="14">
      <c r="A14" s="11" t="inlineStr">
        <is>
          <t>Employee benefits expense</t>
        </is>
      </c>
      <c r="B14" s="12" t="n">
        <v>148</v>
      </c>
      <c r="C14" s="12" t="n">
        <v>136.5</v>
      </c>
      <c r="D14" s="12" t="n">
        <v>292</v>
      </c>
      <c r="E14" s="12" t="n">
        <v>268.2</v>
      </c>
      <c r="F14" s="11" t="inlineStr"/>
    </row>
    <row r="15">
      <c r="A15" s="8" t="inlineStr">
        <is>
          <t>Finance costs</t>
        </is>
      </c>
      <c r="B15" s="9" t="n">
        <v>16.2</v>
      </c>
      <c r="C15" s="9" t="n">
        <v>14.8</v>
      </c>
      <c r="D15" s="9" t="n">
        <v>31.5</v>
      </c>
      <c r="E15" s="9" t="n">
        <v>29.4</v>
      </c>
      <c r="F15" s="8" t="inlineStr"/>
    </row>
    <row r="16">
      <c r="A16" s="11" t="inlineStr">
        <is>
          <t>Depreciation and amortisation expense</t>
        </is>
      </c>
      <c r="B16" s="12" t="n">
        <v>42.5</v>
      </c>
      <c r="C16" s="12" t="n">
        <v>39</v>
      </c>
      <c r="D16" s="12" t="n">
        <v>83.7</v>
      </c>
      <c r="E16" s="12" t="n">
        <v>77.09999999999999</v>
      </c>
      <c r="F16" s="11" t="inlineStr"/>
    </row>
    <row r="17">
      <c r="A17" s="8" t="inlineStr">
        <is>
          <t>Other expenses</t>
        </is>
      </c>
      <c r="B17" s="9" t="n">
        <v>266.4</v>
      </c>
      <c r="C17" s="9" t="n">
        <v>230.8</v>
      </c>
      <c r="D17" s="9" t="n">
        <v>516.5</v>
      </c>
      <c r="E17" s="9" t="n">
        <v>457.1</v>
      </c>
      <c r="F17" s="8" t="inlineStr"/>
    </row>
    <row r="18">
      <c r="A18" s="17" t="inlineStr">
        <is>
          <t>Total expenses</t>
        </is>
      </c>
      <c r="B18" s="18">
        <f>SUM(B11:B17)</f>
        <v/>
      </c>
      <c r="C18" s="18">
        <f>SUM(C11:C17)</f>
        <v/>
      </c>
      <c r="D18" s="18">
        <f>SUM(D11:D17)</f>
        <v/>
      </c>
      <c r="E18" s="18">
        <f>SUM(E11:E17)</f>
        <v/>
      </c>
      <c r="F18" s="17" t="inlineStr">
        <is>
          <t>Formula</t>
        </is>
      </c>
    </row>
    <row r="19">
      <c r="A19" s="17" t="inlineStr">
        <is>
          <t>V. Profit before exceptional items and tax</t>
        </is>
      </c>
      <c r="B19" s="18">
        <f>B9-B18</f>
        <v/>
      </c>
      <c r="C19" s="18">
        <f>C9-C18</f>
        <v/>
      </c>
      <c r="D19" s="18">
        <f>D9-D18</f>
        <v/>
      </c>
      <c r="E19" s="18">
        <f>E9-E18</f>
        <v/>
      </c>
      <c r="F19" s="17" t="inlineStr">
        <is>
          <t>Formula</t>
        </is>
      </c>
    </row>
    <row r="20">
      <c r="A20" s="11" t="inlineStr">
        <is>
          <t>VI. Exceptional items</t>
        </is>
      </c>
      <c r="B20" s="12" t="n">
        <v>0</v>
      </c>
      <c r="C20" s="12" t="n">
        <v>0</v>
      </c>
      <c r="D20" s="12" t="n">
        <v>0</v>
      </c>
      <c r="E20" s="12" t="n">
        <v>0</v>
      </c>
      <c r="F20" s="11" t="inlineStr">
        <is>
          <t>Illustrative</t>
        </is>
      </c>
    </row>
    <row r="21">
      <c r="A21" s="17" t="inlineStr">
        <is>
          <t>VII. Profit before tax</t>
        </is>
      </c>
      <c r="B21" s="18">
        <f>B19+B20</f>
        <v/>
      </c>
      <c r="C21" s="18">
        <f>C19+C20</f>
        <v/>
      </c>
      <c r="D21" s="18">
        <f>D19+D20</f>
        <v/>
      </c>
      <c r="E21" s="18">
        <f>E19+E20</f>
        <v/>
      </c>
      <c r="F21" s="17" t="inlineStr">
        <is>
          <t>Formula</t>
        </is>
      </c>
    </row>
    <row r="22">
      <c r="A22" s="11" t="inlineStr">
        <is>
          <t>VIII. Tax expense</t>
        </is>
      </c>
      <c r="B22" s="12" t="inlineStr"/>
      <c r="C22" s="12" t="inlineStr"/>
      <c r="D22" s="12" t="inlineStr"/>
      <c r="E22" s="12" t="inlineStr"/>
      <c r="F22" s="11" t="inlineStr"/>
    </row>
    <row r="23">
      <c r="A23" s="8" t="inlineStr">
        <is>
          <t>Current tax</t>
        </is>
      </c>
      <c r="B23" s="9" t="n">
        <v>24</v>
      </c>
      <c r="C23" s="9" t="n">
        <v>20.5</v>
      </c>
      <c r="D23" s="9" t="n">
        <v>45.5</v>
      </c>
      <c r="E23" s="9" t="n">
        <v>39.2</v>
      </c>
      <c r="F23" s="8" t="inlineStr"/>
    </row>
    <row r="24">
      <c r="A24" s="11" t="inlineStr">
        <is>
          <t>Deferred tax</t>
        </is>
      </c>
      <c r="B24" s="12" t="n">
        <v>3.9</v>
      </c>
      <c r="C24" s="12" t="n">
        <v>3.7</v>
      </c>
      <c r="D24" s="12" t="n">
        <v>7.6</v>
      </c>
      <c r="E24" s="12" t="n">
        <v>6.3</v>
      </c>
      <c r="F24" s="11" t="inlineStr"/>
    </row>
    <row r="25">
      <c r="A25" s="17" t="inlineStr">
        <is>
          <t>Total tax expense</t>
        </is>
      </c>
      <c r="B25" s="18">
        <f>SUM(B23:B24)</f>
        <v/>
      </c>
      <c r="C25" s="18">
        <f>SUM(C23:C24)</f>
        <v/>
      </c>
      <c r="D25" s="18">
        <f>SUM(D23:D24)</f>
        <v/>
      </c>
      <c r="E25" s="18">
        <f>SUM(E23:E24)</f>
        <v/>
      </c>
      <c r="F25" s="17" t="inlineStr">
        <is>
          <t>Formula</t>
        </is>
      </c>
    </row>
    <row r="26">
      <c r="A26" s="17" t="inlineStr">
        <is>
          <t>IX. Profit for the period</t>
        </is>
      </c>
      <c r="B26" s="18">
        <f>B21-B25</f>
        <v/>
      </c>
      <c r="C26" s="18">
        <f>C21-C25</f>
        <v/>
      </c>
      <c r="D26" s="18">
        <f>D21-D25</f>
        <v/>
      </c>
      <c r="E26" s="18">
        <f>E21-E25</f>
        <v/>
      </c>
      <c r="F26" s="17" t="inlineStr">
        <is>
          <t>Formula</t>
        </is>
      </c>
    </row>
    <row r="27">
      <c r="A27" s="8" t="inlineStr">
        <is>
          <t>X. Other comprehensive income (net of tax)</t>
        </is>
      </c>
      <c r="B27" s="9" t="n">
        <v>2.1</v>
      </c>
      <c r="C27" s="9" t="n">
        <v>1</v>
      </c>
      <c r="D27" s="9" t="n">
        <v>3.6</v>
      </c>
      <c r="E27" s="9" t="n">
        <v>1.8</v>
      </c>
      <c r="F27" s="8" t="inlineStr">
        <is>
          <t>Illustrative</t>
        </is>
      </c>
    </row>
    <row r="28">
      <c r="A28" s="17" t="inlineStr">
        <is>
          <t>XI. Total comprehensive income</t>
        </is>
      </c>
      <c r="B28" s="18">
        <f>B26+B27</f>
        <v/>
      </c>
      <c r="C28" s="18">
        <f>C26+C27</f>
        <v/>
      </c>
      <c r="D28" s="18">
        <f>D26+D27</f>
        <v/>
      </c>
      <c r="E28" s="18">
        <f>E26+E27</f>
        <v/>
      </c>
      <c r="F28" s="17" t="inlineStr">
        <is>
          <t>Formula</t>
        </is>
      </c>
    </row>
    <row r="29">
      <c r="A29" s="8" t="inlineStr">
        <is>
          <t>Paid-up equity share capital</t>
        </is>
      </c>
      <c r="B29" s="9" t="n">
        <v>100</v>
      </c>
      <c r="C29" s="9" t="n">
        <v>100</v>
      </c>
      <c r="D29" s="9" t="n">
        <v>100</v>
      </c>
      <c r="E29" s="9" t="n">
        <v>100</v>
      </c>
      <c r="F29" s="8" t="inlineStr">
        <is>
          <t>₹ crore; face value ₹10 per share</t>
        </is>
      </c>
    </row>
    <row r="30">
      <c r="A30" s="11" t="inlineStr">
        <is>
          <t>Other equity / reserves</t>
        </is>
      </c>
      <c r="B30" s="12" t="inlineStr">
        <is>
          <t>[Refer balance sheet]</t>
        </is>
      </c>
      <c r="C30" s="12" t="inlineStr">
        <is>
          <t>[Refer balance sheet]</t>
        </is>
      </c>
      <c r="D30" s="12" t="inlineStr">
        <is>
          <t>[Refer balance sheet]</t>
        </is>
      </c>
      <c r="E30" s="12" t="inlineStr">
        <is>
          <t>[Refer balance sheet]</t>
        </is>
      </c>
      <c r="F30" s="11" t="inlineStr">
        <is>
          <t>See Balance Sheet tab</t>
        </is>
      </c>
    </row>
    <row r="31">
      <c r="A31" s="8" t="inlineStr">
        <is>
          <t>Basic EPS (₹)</t>
        </is>
      </c>
      <c r="B31" s="9">
        <f>'EPS &amp; Ratios'!B7</f>
        <v/>
      </c>
      <c r="C31" s="9">
        <f>'EPS &amp; Ratios'!C7</f>
        <v/>
      </c>
      <c r="D31" s="9">
        <f>'EPS &amp; Ratios'!D7</f>
        <v/>
      </c>
      <c r="E31" s="9">
        <f>'EPS &amp; Ratios'!E7</f>
        <v/>
      </c>
      <c r="F31" s="8" t="inlineStr">
        <is>
          <t>See EPS &amp; Ratios tab</t>
        </is>
      </c>
    </row>
    <row r="32">
      <c r="A32" s="11" t="inlineStr">
        <is>
          <t>Diluted EPS (₹)</t>
        </is>
      </c>
      <c r="B32" s="12">
        <f>'EPS &amp; Ratios'!B8</f>
        <v/>
      </c>
      <c r="C32" s="12">
        <f>'EPS &amp; Ratios'!C8</f>
        <v/>
      </c>
      <c r="D32" s="12">
        <f>'EPS &amp; Ratios'!D8</f>
        <v/>
      </c>
      <c r="E32" s="12">
        <f>'EPS &amp; Ratios'!E8</f>
        <v/>
      </c>
      <c r="F32" s="11" t="inlineStr">
        <is>
          <t>See EPS &amp; Ratios tab</t>
        </is>
      </c>
    </row>
  </sheetData>
  <autoFilter ref="A6:F32"/>
  <mergeCells count="3">
    <mergeCell ref="A2:F2"/>
    <mergeCell ref="A1:F1"/>
    <mergeCell ref="A4:F4"/>
  </mergeCells>
  <pageMargins left="0.25" right="0.25" top="0.45" bottom="0.45" header="0.5" footer="0.5"/>
  <pageSetup orientation="landscape" fitToHeight="0" fitToWidth="1"/>
  <headerFooter>
    <oddHeader>&amp;C&amp;8 &amp;BSILVERLINE INDUSTRIES LIMITED — FICTIONAL SAMPLE</oddHeader>
    <oddFooter>&amp;R&amp;8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F34"/>
  <sheetViews>
    <sheetView showGridLines="0" zoomScale="90" workbookViewId="0">
      <pane xSplit="1" ySplit="6" topLeftCell="B7" activePane="bottomRight" state="frozen"/>
      <selection pane="topRight"/>
      <selection pane="bottomLeft"/>
      <selection pane="bottomRight" activeCell="A1" sqref="A1"/>
    </sheetView>
  </sheetViews>
  <sheetFormatPr baseColWidth="8" defaultRowHeight="15"/>
  <cols>
    <col width="52" customWidth="1" min="1" max="1"/>
    <col width="18" customWidth="1" min="2" max="2"/>
    <col width="18" customWidth="1" min="3" max="3"/>
    <col width="18" customWidth="1" min="4" max="4"/>
    <col width="18" customWidth="1" min="5" max="5"/>
    <col width="18" customWidth="1" min="6" max="6"/>
  </cols>
  <sheetData>
    <row r="1" ht="30" customHeight="1">
      <c r="A1" s="1" t="inlineStr">
        <is>
          <t>UNAUDITED CONSOLIDATED FINANCIAL RESULTS</t>
        </is>
      </c>
    </row>
    <row r="2" ht="31" customHeight="1">
      <c r="A2" s="2" t="inlineStr">
        <is>
          <t>For the quarter and half year ended 30 September 2026 | ₹ crore except EPS</t>
        </is>
      </c>
    </row>
    <row r="3"/>
    <row r="4">
      <c r="A4" s="16" t="inlineStr">
        <is>
          <t>Fictional illustrative figures only — consolidated scope and non-controlling interests are assumptions</t>
        </is>
      </c>
    </row>
    <row r="5"/>
    <row r="6" ht="32" customHeight="1">
      <c r="A6" s="7" t="inlineStr">
        <is>
          <t>Particulars</t>
        </is>
      </c>
      <c r="B6" s="7" t="inlineStr">
        <is>
          <t>Quarter ended 30-Sep-2026</t>
        </is>
      </c>
      <c r="C6" s="7" t="inlineStr">
        <is>
          <t>Quarter ended 30-Sep-2025</t>
        </is>
      </c>
      <c r="D6" s="7" t="inlineStr">
        <is>
          <t>Half year ended 30-Sep-2026</t>
        </is>
      </c>
      <c r="E6" s="7" t="inlineStr">
        <is>
          <t>Half year ended 30-Sep-2025</t>
        </is>
      </c>
      <c r="F6" s="7" t="inlineStr">
        <is>
          <t>Notes / reference</t>
        </is>
      </c>
    </row>
    <row r="7">
      <c r="A7" s="8" t="inlineStr">
        <is>
          <t>I. Revenue from operations</t>
        </is>
      </c>
      <c r="B7" s="9" t="n">
        <v>1378.4</v>
      </c>
      <c r="C7" s="9" t="n">
        <v>1216.7</v>
      </c>
      <c r="D7" s="9" t="n">
        <v>2690.5</v>
      </c>
      <c r="E7" s="9" t="n">
        <v>2381.2</v>
      </c>
      <c r="F7" s="8" t="inlineStr"/>
    </row>
    <row r="8">
      <c r="A8" s="11" t="inlineStr">
        <is>
          <t>II. Other income</t>
        </is>
      </c>
      <c r="B8" s="12" t="n">
        <v>20.5</v>
      </c>
      <c r="C8" s="12" t="n">
        <v>16.9</v>
      </c>
      <c r="D8" s="12" t="n">
        <v>39.1</v>
      </c>
      <c r="E8" s="12" t="n">
        <v>33</v>
      </c>
      <c r="F8" s="11" t="inlineStr"/>
    </row>
    <row r="9">
      <c r="A9" s="17" t="inlineStr">
        <is>
          <t>III. Total income (I + II)</t>
        </is>
      </c>
      <c r="B9" s="18">
        <f>B7+B8</f>
        <v/>
      </c>
      <c r="C9" s="18">
        <f>C7+C8</f>
        <v/>
      </c>
      <c r="D9" s="18">
        <f>D7+D8</f>
        <v/>
      </c>
      <c r="E9" s="18">
        <f>E7+E8</f>
        <v/>
      </c>
      <c r="F9" s="17" t="inlineStr">
        <is>
          <t>Formula</t>
        </is>
      </c>
    </row>
    <row r="10">
      <c r="A10" s="11" t="inlineStr">
        <is>
          <t>IV. Expenses</t>
        </is>
      </c>
      <c r="B10" s="12" t="inlineStr"/>
      <c r="C10" s="12" t="inlineStr"/>
      <c r="D10" s="12" t="inlineStr"/>
      <c r="E10" s="12" t="inlineStr"/>
      <c r="F10" s="11" t="inlineStr"/>
    </row>
    <row r="11">
      <c r="A11" s="8" t="inlineStr">
        <is>
          <t>Cost of materials consumed</t>
        </is>
      </c>
      <c r="B11" s="9" t="n">
        <v>686</v>
      </c>
      <c r="C11" s="9" t="n">
        <v>619.8</v>
      </c>
      <c r="D11" s="9" t="n">
        <v>1328.2</v>
      </c>
      <c r="E11" s="9" t="n">
        <v>1202.5</v>
      </c>
      <c r="F11" s="8" t="inlineStr"/>
    </row>
    <row r="12">
      <c r="A12" s="11" t="inlineStr">
        <is>
          <t>Purchases of stock-in-trade</t>
        </is>
      </c>
      <c r="B12" s="12" t="n">
        <v>47.5</v>
      </c>
      <c r="C12" s="12" t="n">
        <v>44.2</v>
      </c>
      <c r="D12" s="12" t="n">
        <v>96</v>
      </c>
      <c r="E12" s="12" t="n">
        <v>88.09999999999999</v>
      </c>
      <c r="F12" s="11" t="inlineStr"/>
    </row>
    <row r="13">
      <c r="A13" s="8" t="inlineStr">
        <is>
          <t>Changes in inventories of finished goods, WIP and stock-in-trade</t>
        </is>
      </c>
      <c r="B13" s="9" t="n">
        <v>-9</v>
      </c>
      <c r="C13" s="9" t="n">
        <v>-6.2</v>
      </c>
      <c r="D13" s="9" t="n">
        <v>-16.5</v>
      </c>
      <c r="E13" s="9" t="n">
        <v>-10</v>
      </c>
      <c r="F13" s="8" t="inlineStr"/>
    </row>
    <row r="14">
      <c r="A14" s="11" t="inlineStr">
        <is>
          <t>Employee benefits expense</t>
        </is>
      </c>
      <c r="B14" s="12" t="n">
        <v>164.8</v>
      </c>
      <c r="C14" s="12" t="n">
        <v>151.4</v>
      </c>
      <c r="D14" s="12" t="n">
        <v>326.1</v>
      </c>
      <c r="E14" s="12" t="n">
        <v>298</v>
      </c>
      <c r="F14" s="11" t="inlineStr"/>
    </row>
    <row r="15">
      <c r="A15" s="8" t="inlineStr">
        <is>
          <t>Finance costs</t>
        </is>
      </c>
      <c r="B15" s="9" t="n">
        <v>19.4</v>
      </c>
      <c r="C15" s="9" t="n">
        <v>17.6</v>
      </c>
      <c r="D15" s="9" t="n">
        <v>37.9</v>
      </c>
      <c r="E15" s="9" t="n">
        <v>34.8</v>
      </c>
      <c r="F15" s="8" t="inlineStr"/>
    </row>
    <row r="16">
      <c r="A16" s="11" t="inlineStr">
        <is>
          <t>Depreciation and amortisation expense</t>
        </is>
      </c>
      <c r="B16" s="12" t="n">
        <v>49.6</v>
      </c>
      <c r="C16" s="12" t="n">
        <v>45.2</v>
      </c>
      <c r="D16" s="12" t="n">
        <v>98.2</v>
      </c>
      <c r="E16" s="12" t="n">
        <v>89.5</v>
      </c>
      <c r="F16" s="11" t="inlineStr"/>
    </row>
    <row r="17">
      <c r="A17" s="8" t="inlineStr">
        <is>
          <t>Other expenses</t>
        </is>
      </c>
      <c r="B17" s="9" t="n">
        <v>300.1</v>
      </c>
      <c r="C17" s="9" t="n">
        <v>267</v>
      </c>
      <c r="D17" s="9" t="n">
        <v>583.5</v>
      </c>
      <c r="E17" s="9" t="n">
        <v>523</v>
      </c>
      <c r="F17" s="8" t="inlineStr"/>
    </row>
    <row r="18">
      <c r="A18" s="17" t="inlineStr">
        <is>
          <t>Total expenses</t>
        </is>
      </c>
      <c r="B18" s="18">
        <f>SUM(B11:B17)</f>
        <v/>
      </c>
      <c r="C18" s="18">
        <f>SUM(C11:C17)</f>
        <v/>
      </c>
      <c r="D18" s="18">
        <f>SUM(D11:D17)</f>
        <v/>
      </c>
      <c r="E18" s="18">
        <f>SUM(E11:E17)</f>
        <v/>
      </c>
      <c r="F18" s="17" t="inlineStr">
        <is>
          <t>Formula</t>
        </is>
      </c>
    </row>
    <row r="19">
      <c r="A19" s="17" t="inlineStr">
        <is>
          <t>V. Profit before exceptional items and tax</t>
        </is>
      </c>
      <c r="B19" s="18">
        <f>B9-B18</f>
        <v/>
      </c>
      <c r="C19" s="18">
        <f>C9-C18</f>
        <v/>
      </c>
      <c r="D19" s="18">
        <f>D9-D18</f>
        <v/>
      </c>
      <c r="E19" s="18">
        <f>E9-E18</f>
        <v/>
      </c>
      <c r="F19" s="17" t="inlineStr">
        <is>
          <t>Formula</t>
        </is>
      </c>
    </row>
    <row r="20">
      <c r="A20" s="11" t="inlineStr">
        <is>
          <t>VI. Exceptional items</t>
        </is>
      </c>
      <c r="B20" s="12" t="n">
        <v>0</v>
      </c>
      <c r="C20" s="12" t="n">
        <v>0</v>
      </c>
      <c r="D20" s="12" t="n">
        <v>0</v>
      </c>
      <c r="E20" s="12" t="n">
        <v>0</v>
      </c>
      <c r="F20" s="11" t="inlineStr">
        <is>
          <t>Illustrative</t>
        </is>
      </c>
    </row>
    <row r="21">
      <c r="A21" s="17" t="inlineStr">
        <is>
          <t>VII. Profit before tax</t>
        </is>
      </c>
      <c r="B21" s="18">
        <f>B19+B20</f>
        <v/>
      </c>
      <c r="C21" s="18">
        <f>C19+C20</f>
        <v/>
      </c>
      <c r="D21" s="18">
        <f>D19+D20</f>
        <v/>
      </c>
      <c r="E21" s="18">
        <f>E19+E20</f>
        <v/>
      </c>
      <c r="F21" s="17" t="inlineStr">
        <is>
          <t>Formula</t>
        </is>
      </c>
    </row>
    <row r="22">
      <c r="A22" s="11" t="inlineStr">
        <is>
          <t>VIII. Tax expense</t>
        </is>
      </c>
      <c r="B22" s="12" t="inlineStr"/>
      <c r="C22" s="12" t="inlineStr"/>
      <c r="D22" s="12" t="inlineStr"/>
      <c r="E22" s="12" t="inlineStr"/>
      <c r="F22" s="11" t="inlineStr"/>
    </row>
    <row r="23">
      <c r="A23" s="8" t="inlineStr">
        <is>
          <t>Current tax</t>
        </is>
      </c>
      <c r="B23" s="9" t="n">
        <v>28.4</v>
      </c>
      <c r="C23" s="9" t="n">
        <v>24.1</v>
      </c>
      <c r="D23" s="9" t="n">
        <v>54.2</v>
      </c>
      <c r="E23" s="9" t="n">
        <v>46.8</v>
      </c>
      <c r="F23" s="8" t="inlineStr"/>
    </row>
    <row r="24">
      <c r="A24" s="11" t="inlineStr">
        <is>
          <t>Deferred tax</t>
        </is>
      </c>
      <c r="B24" s="12" t="n">
        <v>4.4</v>
      </c>
      <c r="C24" s="12" t="n">
        <v>4</v>
      </c>
      <c r="D24" s="12" t="n">
        <v>8.800000000000001</v>
      </c>
      <c r="E24" s="12" t="n">
        <v>7</v>
      </c>
      <c r="F24" s="11" t="inlineStr"/>
    </row>
    <row r="25">
      <c r="A25" s="17" t="inlineStr">
        <is>
          <t>Total tax expense</t>
        </is>
      </c>
      <c r="B25" s="18">
        <f>SUM(B23:B24)</f>
        <v/>
      </c>
      <c r="C25" s="18">
        <f>SUM(C23:C24)</f>
        <v/>
      </c>
      <c r="D25" s="18">
        <f>SUM(D23:D24)</f>
        <v/>
      </c>
      <c r="E25" s="18">
        <f>SUM(E23:E24)</f>
        <v/>
      </c>
      <c r="F25" s="17" t="inlineStr">
        <is>
          <t>Formula</t>
        </is>
      </c>
    </row>
    <row r="26">
      <c r="A26" s="17" t="inlineStr">
        <is>
          <t>IX. Profit for the period</t>
        </is>
      </c>
      <c r="B26" s="18">
        <f>B21-B25</f>
        <v/>
      </c>
      <c r="C26" s="18">
        <f>C21-C25</f>
        <v/>
      </c>
      <c r="D26" s="18">
        <f>D21-D25</f>
        <v/>
      </c>
      <c r="E26" s="18">
        <f>E21-E25</f>
        <v/>
      </c>
      <c r="F26" s="17" t="inlineStr">
        <is>
          <t>Before attribution to NCI</t>
        </is>
      </c>
    </row>
    <row r="27">
      <c r="A27" s="8" t="inlineStr">
        <is>
          <t>Attributable to owners of the parent</t>
        </is>
      </c>
      <c r="B27" s="9">
        <f>'EPS &amp; Ratios'!B11</f>
        <v/>
      </c>
      <c r="C27" s="9">
        <f>'EPS &amp; Ratios'!C11</f>
        <v/>
      </c>
      <c r="D27" s="9">
        <f>'EPS &amp; Ratios'!D11</f>
        <v/>
      </c>
      <c r="E27" s="9">
        <f>'EPS &amp; Ratios'!E11</f>
        <v/>
      </c>
      <c r="F27" s="8" t="inlineStr"/>
    </row>
    <row r="28">
      <c r="A28" s="11" t="inlineStr">
        <is>
          <t>Attributable to non-controlling interests</t>
        </is>
      </c>
      <c r="B28" s="12">
        <f>B26-B27</f>
        <v/>
      </c>
      <c r="C28" s="12">
        <f>C26-C27</f>
        <v/>
      </c>
      <c r="D28" s="12">
        <f>D26-D27</f>
        <v/>
      </c>
      <c r="E28" s="12">
        <f>E26-E27</f>
        <v/>
      </c>
      <c r="F28" s="11" t="inlineStr"/>
    </row>
    <row r="29">
      <c r="A29" s="8" t="inlineStr">
        <is>
          <t>X. Other comprehensive income (net of tax)</t>
        </is>
      </c>
      <c r="B29" s="9" t="n">
        <v>2.6</v>
      </c>
      <c r="C29" s="9" t="n">
        <v>1.4</v>
      </c>
      <c r="D29" s="9" t="n">
        <v>4.1</v>
      </c>
      <c r="E29" s="9" t="n">
        <v>2.5</v>
      </c>
      <c r="F29" s="8" t="inlineStr"/>
    </row>
    <row r="30">
      <c r="A30" s="17" t="inlineStr">
        <is>
          <t>XI. Total comprehensive income</t>
        </is>
      </c>
      <c r="B30" s="18">
        <f>B26+B29</f>
        <v/>
      </c>
      <c r="C30" s="18">
        <f>C26+C29</f>
        <v/>
      </c>
      <c r="D30" s="18">
        <f>D26+D29</f>
        <v/>
      </c>
      <c r="E30" s="18">
        <f>E26+E29</f>
        <v/>
      </c>
      <c r="F30" s="17" t="inlineStr"/>
    </row>
    <row r="31">
      <c r="A31" s="8" t="inlineStr">
        <is>
          <t>Paid-up equity share capital</t>
        </is>
      </c>
      <c r="B31" s="9" t="n">
        <v>100</v>
      </c>
      <c r="C31" s="9" t="n">
        <v>100</v>
      </c>
      <c r="D31" s="9" t="n">
        <v>100</v>
      </c>
      <c r="E31" s="9" t="n">
        <v>100</v>
      </c>
      <c r="F31" s="8" t="inlineStr">
        <is>
          <t>₹ crore; face value ₹10 per share</t>
        </is>
      </c>
    </row>
    <row r="32">
      <c r="A32" s="11" t="inlineStr">
        <is>
          <t>Other equity / reserves</t>
        </is>
      </c>
      <c r="B32" s="12" t="inlineStr">
        <is>
          <t>[Refer balance sheet]</t>
        </is>
      </c>
      <c r="C32" s="12" t="inlineStr">
        <is>
          <t>[Refer balance sheet]</t>
        </is>
      </c>
      <c r="D32" s="12" t="inlineStr">
        <is>
          <t>[Refer balance sheet]</t>
        </is>
      </c>
      <c r="E32" s="12" t="inlineStr">
        <is>
          <t>[Refer balance sheet]</t>
        </is>
      </c>
      <c r="F32" s="11" t="inlineStr">
        <is>
          <t>See Balance Sheet tab</t>
        </is>
      </c>
    </row>
    <row r="33">
      <c r="A33" s="8" t="inlineStr">
        <is>
          <t>Basic EPS (₹)</t>
        </is>
      </c>
      <c r="B33" s="9">
        <f>'EPS &amp; Ratios'!B7</f>
        <v/>
      </c>
      <c r="C33" s="9">
        <f>'EPS &amp; Ratios'!C7</f>
        <v/>
      </c>
      <c r="D33" s="9">
        <f>'EPS &amp; Ratios'!D7</f>
        <v/>
      </c>
      <c r="E33" s="9">
        <f>'EPS &amp; Ratios'!E7</f>
        <v/>
      </c>
      <c r="F33" s="8" t="inlineStr"/>
    </row>
    <row r="34">
      <c r="A34" s="11" t="inlineStr">
        <is>
          <t>Diluted EPS (₹)</t>
        </is>
      </c>
      <c r="B34" s="12">
        <f>'EPS &amp; Ratios'!B8</f>
        <v/>
      </c>
      <c r="C34" s="12">
        <f>'EPS &amp; Ratios'!C8</f>
        <v/>
      </c>
      <c r="D34" s="12">
        <f>'EPS &amp; Ratios'!D8</f>
        <v/>
      </c>
      <c r="E34" s="12">
        <f>'EPS &amp; Ratios'!E8</f>
        <v/>
      </c>
      <c r="F34" s="11" t="inlineStr"/>
    </row>
  </sheetData>
  <autoFilter ref="A6:F34"/>
  <mergeCells count="3">
    <mergeCell ref="A2:F2"/>
    <mergeCell ref="A1:F1"/>
    <mergeCell ref="A4:F4"/>
  </mergeCells>
  <pageMargins left="0.25" right="0.25" top="0.45" bottom="0.45" header="0.5" footer="0.5"/>
  <pageSetup orientation="landscape" fitToHeight="0" fitToWidth="1"/>
  <headerFooter>
    <oddHeader>&amp;C&amp;8 &amp;BSILVERLINE INDUSTRIES LIMITED — FICTIONAL SAMPLE</oddHeader>
    <oddFooter>&amp;R&amp;8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48" customWidth="1" min="1" max="1"/>
    <col width="18" customWidth="1" min="2" max="2"/>
    <col width="18" customWidth="1" min="3" max="3"/>
    <col width="18" customWidth="1" min="4" max="4"/>
    <col width="18" customWidth="1" min="5" max="5"/>
    <col width="40" customWidth="1" min="6" max="6"/>
  </cols>
  <sheetData>
    <row r="1" ht="30" customHeight="1">
      <c r="A1" s="1" t="inlineStr">
        <is>
          <t>EPS &amp; SELECTED RATIOS</t>
        </is>
      </c>
    </row>
    <row r="2" ht="31" customHeight="1">
      <c r="A2" s="2" t="inlineStr">
        <is>
          <t>Illustrative calculations; share count and profit attribution assumptions must be validated</t>
        </is>
      </c>
    </row>
    <row r="3"/>
    <row r="4" ht="32" customHeight="1">
      <c r="A4" s="7" t="inlineStr">
        <is>
          <t>Particulars</t>
        </is>
      </c>
      <c r="B4" s="7" t="inlineStr">
        <is>
          <t>Q2 FY27</t>
        </is>
      </c>
      <c r="C4" s="7" t="inlineStr">
        <is>
          <t>Q2 FY26</t>
        </is>
      </c>
      <c r="D4" s="7" t="inlineStr">
        <is>
          <t>H1 FY27</t>
        </is>
      </c>
      <c r="E4" s="7" t="inlineStr">
        <is>
          <t>H1 FY26</t>
        </is>
      </c>
      <c r="F4" s="7" t="inlineStr">
        <is>
          <t>Basis / notes</t>
        </is>
      </c>
    </row>
    <row r="5">
      <c r="A5" s="8" t="inlineStr">
        <is>
          <t>PAT attributable to equity shareholders (₹ crore)</t>
        </is>
      </c>
      <c r="B5" s="9" t="n">
        <v>76.90000000000001</v>
      </c>
      <c r="C5" s="9" t="n">
        <v>67.40000000000001</v>
      </c>
      <c r="D5" s="9" t="n">
        <v>143.1</v>
      </c>
      <c r="E5" s="9" t="n">
        <v>125.8</v>
      </c>
      <c r="F5" s="8" t="inlineStr">
        <is>
          <t>Standalone illustration; consolidated EPS uses parent attribution in the consolidated results tab.</t>
        </is>
      </c>
    </row>
    <row r="6">
      <c r="A6" s="11" t="inlineStr">
        <is>
          <t>Weighted average equity shares (crore)</t>
        </is>
      </c>
      <c r="B6" s="12" t="n">
        <v>10</v>
      </c>
      <c r="C6" s="12" t="n">
        <v>10</v>
      </c>
      <c r="D6" s="12" t="n">
        <v>10</v>
      </c>
      <c r="E6" s="12" t="n">
        <v>10</v>
      </c>
      <c r="F6" s="11" t="inlineStr">
        <is>
          <t>₹100 crore paid-up capital / ₹10 face value assumed; confirm weighted average shares.</t>
        </is>
      </c>
    </row>
    <row r="7">
      <c r="A7" s="8" t="inlineStr">
        <is>
          <t>Basic EPS (₹)</t>
        </is>
      </c>
      <c r="B7" s="19">
        <f>B5/B6</f>
        <v/>
      </c>
      <c r="C7" s="19">
        <f>C5/C6</f>
        <v/>
      </c>
      <c r="D7" s="19">
        <f>D5/D6</f>
        <v/>
      </c>
      <c r="E7" s="19">
        <f>E5/E6</f>
        <v/>
      </c>
      <c r="F7" s="8" t="inlineStr">
        <is>
          <t>PAT attributable / weighted average shares.</t>
        </is>
      </c>
    </row>
    <row r="8">
      <c r="A8" s="11" t="inlineStr">
        <is>
          <t>Diluted EPS (₹)</t>
        </is>
      </c>
      <c r="B8" s="14">
        <f>B7</f>
        <v/>
      </c>
      <c r="C8" s="14">
        <f>C7</f>
        <v/>
      </c>
      <c r="D8" s="14">
        <f>D7</f>
        <v/>
      </c>
      <c r="E8" s="14">
        <f>E7</f>
        <v/>
      </c>
      <c r="F8" s="11" t="inlineStr">
        <is>
          <t>Assumes no dilutive instruments; verify actual diluted share count.</t>
        </is>
      </c>
    </row>
    <row r="9">
      <c r="A9" s="8" t="inlineStr">
        <is>
          <t>Revenue from operations (₹ crore)</t>
        </is>
      </c>
      <c r="B9" s="9">
        <f>'Standalone Results'!B7</f>
        <v/>
      </c>
      <c r="C9" s="9">
        <f>'Standalone Results'!C7</f>
        <v/>
      </c>
      <c r="D9" s="9">
        <f>'Standalone Results'!D7</f>
        <v/>
      </c>
      <c r="E9" s="9">
        <f>'Standalone Results'!E7</f>
        <v/>
      </c>
      <c r="F9" s="8" t="inlineStr">
        <is>
          <t>Standalone results.</t>
        </is>
      </c>
    </row>
    <row r="10">
      <c r="A10" s="11" t="inlineStr">
        <is>
          <t>PAT margin</t>
        </is>
      </c>
      <c r="B10" s="20">
        <f>B5/B9</f>
        <v/>
      </c>
      <c r="C10" s="20">
        <f>C5/C9</f>
        <v/>
      </c>
      <c r="D10" s="20">
        <f>D5/D9</f>
        <v/>
      </c>
      <c r="E10" s="20">
        <f>E5/E9</f>
        <v/>
      </c>
      <c r="F10" s="11" t="inlineStr">
        <is>
          <t>PAT attributable / revenue.</t>
        </is>
      </c>
    </row>
    <row r="11">
      <c r="A11" s="8" t="inlineStr">
        <is>
          <t>Consolidated PAT attributable to owners (₹ crore)</t>
        </is>
      </c>
      <c r="B11" s="9" t="n">
        <v>82</v>
      </c>
      <c r="C11" s="9" t="n">
        <v>72</v>
      </c>
      <c r="D11" s="9" t="n">
        <v>153</v>
      </c>
      <c r="E11" s="9" t="n">
        <v>133</v>
      </c>
      <c r="F11" s="8" t="inlineStr">
        <is>
          <t>Illustrative assumption for EPS; must reconcile to consolidated profit attribution.</t>
        </is>
      </c>
    </row>
    <row r="12">
      <c r="A12" s="11" t="inlineStr">
        <is>
          <t>Consolidated basic EPS (₹)</t>
        </is>
      </c>
      <c r="B12" s="14">
        <f>B11/B6</f>
        <v/>
      </c>
      <c r="C12" s="14">
        <f>C11/C6</f>
        <v/>
      </c>
      <c r="D12" s="14">
        <f>D11/D6</f>
        <v/>
      </c>
      <c r="E12" s="14">
        <f>E11/E6</f>
        <v/>
      </c>
      <c r="F12" s="11" t="inlineStr">
        <is>
          <t>Consolidated parent-attributable PAT / weighted average shares.</t>
        </is>
      </c>
    </row>
    <row r="13">
      <c r="A13" s="8" t="inlineStr">
        <is>
          <t>Consolidated diluted EPS (₹)</t>
        </is>
      </c>
      <c r="B13" s="19">
        <f>B12</f>
        <v/>
      </c>
      <c r="C13" s="19">
        <f>C12</f>
        <v/>
      </c>
      <c r="D13" s="19">
        <f>D12</f>
        <v/>
      </c>
      <c r="E13" s="19">
        <f>E12</f>
        <v/>
      </c>
      <c r="F13" s="8" t="inlineStr">
        <is>
          <t>Assumes no dilutive instruments; verify.</t>
        </is>
      </c>
    </row>
  </sheetData>
  <mergeCells count="2">
    <mergeCell ref="A2:F2"/>
    <mergeCell ref="A1:F1"/>
  </mergeCells>
  <pageMargins left="0.25" right="0.25" top="0.45" bottom="0.45" header="0.5" footer="0.5"/>
  <pageSetup orientation="landscape" fitToHeight="0" fitToWidth="1"/>
  <headerFooter>
    <oddHeader>&amp;C&amp;8 &amp;BSILVERLINE INDUSTRIES LIMITED — FICTIONAL SAMPLE</oddHeader>
    <oddFooter>&amp;R&amp;8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G13"/>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36" customWidth="1" min="7" max="7"/>
  </cols>
  <sheetData>
    <row r="1" ht="30" customHeight="1">
      <c r="A1" s="1" t="inlineStr">
        <is>
          <t>SEGMENT INFORMATION</t>
        </is>
      </c>
    </row>
    <row r="2" ht="31" customHeight="1">
      <c r="A2" s="2" t="inlineStr">
        <is>
          <t>Illustrative operating segments for quarter and half year ended 30 September 2026 | ₹ crore</t>
        </is>
      </c>
    </row>
    <row r="3"/>
    <row r="4" ht="32" customHeight="1">
      <c r="A4" s="7" t="inlineStr">
        <is>
          <t>Segment</t>
        </is>
      </c>
      <c r="B4" s="7" t="inlineStr">
        <is>
          <t>Q2 FY27 Revenue</t>
        </is>
      </c>
      <c r="C4" s="7" t="inlineStr">
        <is>
          <t>Q2 FY26 Revenue</t>
        </is>
      </c>
      <c r="D4" s="7" t="inlineStr">
        <is>
          <t>H1 FY27 Revenue</t>
        </is>
      </c>
      <c r="E4" s="7" t="inlineStr">
        <is>
          <t>H1 FY26 Revenue</t>
        </is>
      </c>
      <c r="F4" s="7" t="inlineStr">
        <is>
          <t>Q2 FY27 Segment Result</t>
        </is>
      </c>
      <c r="G4" s="7" t="inlineStr">
        <is>
          <t>Notes</t>
        </is>
      </c>
    </row>
    <row r="5">
      <c r="A5" s="8" t="inlineStr">
        <is>
          <t>Industrial Components</t>
        </is>
      </c>
      <c r="B5" s="9" t="n">
        <v>780</v>
      </c>
      <c r="C5" s="9" t="n">
        <v>698</v>
      </c>
      <c r="D5" s="9" t="n">
        <v>1512</v>
      </c>
      <c r="E5" s="9" t="n">
        <v>1368</v>
      </c>
      <c r="F5" s="9" t="n">
        <v>88</v>
      </c>
      <c r="G5" s="8" t="inlineStr">
        <is>
          <t>Fictional reportable segment.</t>
        </is>
      </c>
    </row>
    <row r="6">
      <c r="A6" s="11" t="inlineStr">
        <is>
          <t>Specialty Materials</t>
        </is>
      </c>
      <c r="B6" s="12" t="n">
        <v>365.6</v>
      </c>
      <c r="C6" s="12" t="n">
        <v>318.2</v>
      </c>
      <c r="D6" s="12" t="n">
        <v>708.8</v>
      </c>
      <c r="E6" s="12" t="n">
        <v>612.4</v>
      </c>
      <c r="F6" s="12" t="n">
        <v>38</v>
      </c>
      <c r="G6" s="11" t="inlineStr">
        <is>
          <t>Fictional reportable segment.</t>
        </is>
      </c>
    </row>
    <row r="7">
      <c r="A7" s="8" t="inlineStr">
        <is>
          <t>Services &amp; Aftermarket</t>
        </is>
      </c>
      <c r="B7" s="9" t="n">
        <v>100</v>
      </c>
      <c r="C7" s="9" t="n">
        <v>92</v>
      </c>
      <c r="D7" s="9" t="n">
        <v>210</v>
      </c>
      <c r="E7" s="9" t="n">
        <v>185</v>
      </c>
      <c r="F7" s="9" t="n">
        <v>11</v>
      </c>
      <c r="G7" s="8" t="inlineStr">
        <is>
          <t>Fictional reportable segment.</t>
        </is>
      </c>
    </row>
    <row r="8">
      <c r="A8" s="17" t="inlineStr">
        <is>
          <t>Total segment revenue</t>
        </is>
      </c>
      <c r="B8" s="18">
        <f>SUM(B5:B7)</f>
        <v/>
      </c>
      <c r="C8" s="18">
        <f>SUM(C5:C7)</f>
        <v/>
      </c>
      <c r="D8" s="18">
        <f>SUM(D5:D7)</f>
        <v/>
      </c>
      <c r="E8" s="18">
        <f>SUM(E5:E7)</f>
        <v/>
      </c>
      <c r="F8" s="18">
        <f>SUM(F5:F7)</f>
        <v/>
      </c>
      <c r="G8" s="17" t="inlineStr">
        <is>
          <t>Before eliminations, if any.</t>
        </is>
      </c>
    </row>
    <row r="9">
      <c r="A9" s="8" t="inlineStr">
        <is>
          <t>Inter-segment eliminations</t>
        </is>
      </c>
      <c r="B9" s="9" t="n">
        <v>-0</v>
      </c>
      <c r="C9" s="9" t="n">
        <v>-0</v>
      </c>
      <c r="D9" s="9" t="n">
        <v>-0</v>
      </c>
      <c r="E9" s="9" t="n">
        <v>-0</v>
      </c>
      <c r="F9" s="9" t="n">
        <v>0</v>
      </c>
      <c r="G9" s="8" t="inlineStr">
        <is>
          <t>Illustrative; no material eliminations assumed.</t>
        </is>
      </c>
    </row>
    <row r="10">
      <c r="A10" s="17" t="inlineStr">
        <is>
          <t>Revenue from operations</t>
        </is>
      </c>
      <c r="B10" s="18">
        <f>B8+B9</f>
        <v/>
      </c>
      <c r="C10" s="18">
        <f>C8+C9</f>
        <v/>
      </c>
      <c r="D10" s="18">
        <f>D8+D9</f>
        <v/>
      </c>
      <c r="E10" s="18">
        <f>E8+E9</f>
        <v/>
      </c>
      <c r="F10" s="18" t="inlineStr"/>
      <c r="G10" s="17" t="inlineStr">
        <is>
          <t>Should reconcile to standalone revenue only if this segment perimeter is standalone.</t>
        </is>
      </c>
    </row>
    <row r="11">
      <c r="A11" s="8" t="inlineStr">
        <is>
          <t>Unallocated corporate costs</t>
        </is>
      </c>
      <c r="B11" s="9" t="inlineStr"/>
      <c r="C11" s="9" t="inlineStr"/>
      <c r="D11" s="9" t="inlineStr"/>
      <c r="E11" s="9" t="inlineStr"/>
      <c r="F11" s="9" t="n">
        <v>-18.2</v>
      </c>
      <c r="G11" s="8" t="inlineStr">
        <is>
          <t>Illustrative.</t>
        </is>
      </c>
    </row>
    <row r="12">
      <c r="A12" s="11" t="inlineStr">
        <is>
          <t>Finance costs</t>
        </is>
      </c>
      <c r="B12" s="12" t="inlineStr"/>
      <c r="C12" s="12" t="inlineStr"/>
      <c r="D12" s="12" t="inlineStr"/>
      <c r="E12" s="12" t="inlineStr"/>
      <c r="F12" s="12" t="n">
        <v>-16.2</v>
      </c>
      <c r="G12" s="11" t="inlineStr">
        <is>
          <t>Refer to financial results.</t>
        </is>
      </c>
    </row>
    <row r="13">
      <c r="A13" s="17" t="inlineStr">
        <is>
          <t>Profit before tax (illustrative reconciliation)</t>
        </is>
      </c>
      <c r="B13" s="18" t="inlineStr"/>
      <c r="C13" s="18" t="inlineStr"/>
      <c r="D13" s="18" t="inlineStr"/>
      <c r="E13" s="18" t="inlineStr"/>
      <c r="F13" s="18">
        <f>F8+F11+F12</f>
        <v/>
      </c>
      <c r="G13" s="17" t="inlineStr">
        <is>
          <t>This simplified reconciliation is not a prescribed segment note.</t>
        </is>
      </c>
    </row>
  </sheetData>
  <mergeCells count="2">
    <mergeCell ref="A2:G2"/>
    <mergeCell ref="A1:G1"/>
  </mergeCells>
  <pageMargins left="0.25" right="0.25" top="0.45" bottom="0.45" header="0.5" footer="0.5"/>
  <pageSetup orientation="landscape" fitToHeight="0" fitToWidth="1"/>
  <headerFooter>
    <oddHeader>&amp;C&amp;8 &amp;BSILVERLINE INDUSTRIES LIMITED — FICTIONAL SAMPLE</oddHeader>
    <oddFooter>&amp;R&amp;8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40"/>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55" customWidth="1" min="1" max="1"/>
    <col width="22" customWidth="1" min="2" max="2"/>
    <col width="22" customWidth="1" min="3" max="3"/>
    <col width="45" customWidth="1" min="4" max="4"/>
  </cols>
  <sheetData>
    <row r="1" ht="30" customHeight="1">
      <c r="A1" s="1" t="inlineStr">
        <is>
          <t>BALANCE SHEET — ILLUSTRATIVE SUMMARY</t>
        </is>
      </c>
    </row>
    <row r="2" ht="31" customHeight="1">
      <c r="A2" s="2" t="inlineStr">
        <is>
          <t>As at 30 September 2026 and 31 March 2026 | ₹ crore</t>
        </is>
      </c>
    </row>
    <row r="3"/>
    <row r="4" ht="32" customHeight="1">
      <c r="A4" s="7" t="inlineStr">
        <is>
          <t>Particulars</t>
        </is>
      </c>
      <c r="B4" s="7" t="inlineStr">
        <is>
          <t>As at 30-Sep-2026</t>
        </is>
      </c>
      <c r="C4" s="7" t="inlineStr">
        <is>
          <t>As at 31-Mar-2026</t>
        </is>
      </c>
      <c r="D4" s="7" t="inlineStr">
        <is>
          <t>Notes / reference</t>
        </is>
      </c>
    </row>
    <row r="5">
      <c r="A5" s="17" t="inlineStr">
        <is>
          <t>ASSETS</t>
        </is>
      </c>
      <c r="B5" s="18" t="inlineStr"/>
      <c r="C5" s="18" t="inlineStr"/>
      <c r="D5" s="17" t="inlineStr"/>
    </row>
    <row r="6">
      <c r="A6" s="11" t="inlineStr">
        <is>
          <t>Non-current assets</t>
        </is>
      </c>
      <c r="B6" s="12" t="inlineStr"/>
      <c r="C6" s="12" t="inlineStr"/>
      <c r="D6" s="11" t="inlineStr"/>
    </row>
    <row r="7">
      <c r="A7" s="8" t="inlineStr">
        <is>
          <t>Property, plant and equipment</t>
        </is>
      </c>
      <c r="B7" s="9" t="n">
        <v>680</v>
      </c>
      <c r="C7" s="9" t="n">
        <v>640</v>
      </c>
      <c r="D7" s="8" t="inlineStr">
        <is>
          <t>Illustrative.</t>
        </is>
      </c>
    </row>
    <row r="8">
      <c r="A8" s="11" t="inlineStr">
        <is>
          <t>Capital work-in-progress</t>
        </is>
      </c>
      <c r="B8" s="12" t="n">
        <v>55</v>
      </c>
      <c r="C8" s="12" t="n">
        <v>42</v>
      </c>
      <c r="D8" s="11" t="inlineStr">
        <is>
          <t>Illustrative.</t>
        </is>
      </c>
    </row>
    <row r="9">
      <c r="A9" s="8" t="inlineStr">
        <is>
          <t>Right-of-use assets</t>
        </is>
      </c>
      <c r="B9" s="9" t="n">
        <v>32</v>
      </c>
      <c r="C9" s="9" t="n">
        <v>34</v>
      </c>
      <c r="D9" s="8" t="inlineStr">
        <is>
          <t>Illustrative.</t>
        </is>
      </c>
    </row>
    <row r="10">
      <c r="A10" s="11" t="inlineStr">
        <is>
          <t>Intangible assets</t>
        </is>
      </c>
      <c r="B10" s="12" t="n">
        <v>24</v>
      </c>
      <c r="C10" s="12" t="n">
        <v>25</v>
      </c>
      <c r="D10" s="11" t="inlineStr">
        <is>
          <t>Illustrative.</t>
        </is>
      </c>
    </row>
    <row r="11">
      <c r="A11" s="8" t="inlineStr">
        <is>
          <t>Investments</t>
        </is>
      </c>
      <c r="B11" s="9" t="n">
        <v>65</v>
      </c>
      <c r="C11" s="9" t="n">
        <v>60</v>
      </c>
      <c r="D11" s="8" t="inlineStr">
        <is>
          <t>Illustrative.</t>
        </is>
      </c>
    </row>
    <row r="12">
      <c r="A12" s="11" t="inlineStr">
        <is>
          <t>Other non-current assets</t>
        </is>
      </c>
      <c r="B12" s="12" t="n">
        <v>38</v>
      </c>
      <c r="C12" s="12" t="n">
        <v>35</v>
      </c>
      <c r="D12" s="11" t="inlineStr">
        <is>
          <t>Illustrative.</t>
        </is>
      </c>
    </row>
    <row r="13">
      <c r="A13" s="17" t="inlineStr">
        <is>
          <t>Total non-current assets</t>
        </is>
      </c>
      <c r="B13" s="18">
        <f>SUM(B7:B12)</f>
        <v/>
      </c>
      <c r="C13" s="18">
        <f>SUM(C7:C12)</f>
        <v/>
      </c>
      <c r="D13" s="17" t="inlineStr">
        <is>
          <t>Formula.</t>
        </is>
      </c>
    </row>
    <row r="14">
      <c r="A14" s="11" t="inlineStr">
        <is>
          <t>Current assets</t>
        </is>
      </c>
      <c r="B14" s="12" t="inlineStr"/>
      <c r="C14" s="12" t="inlineStr"/>
      <c r="D14" s="11" t="inlineStr"/>
    </row>
    <row r="15">
      <c r="A15" s="8" t="inlineStr">
        <is>
          <t>Inventories</t>
        </is>
      </c>
      <c r="B15" s="9" t="n">
        <v>410</v>
      </c>
      <c r="C15" s="9" t="n">
        <v>390</v>
      </c>
      <c r="D15" s="8" t="inlineStr">
        <is>
          <t>Illustrative.</t>
        </is>
      </c>
    </row>
    <row r="16">
      <c r="A16" s="11" t="inlineStr">
        <is>
          <t>Trade receivables</t>
        </is>
      </c>
      <c r="B16" s="12" t="n">
        <v>325</v>
      </c>
      <c r="C16" s="12" t="n">
        <v>300</v>
      </c>
      <c r="D16" s="11" t="inlineStr">
        <is>
          <t>Illustrative.</t>
        </is>
      </c>
    </row>
    <row r="17">
      <c r="A17" s="8" t="inlineStr">
        <is>
          <t>Cash and cash equivalents</t>
        </is>
      </c>
      <c r="B17" s="9" t="n">
        <v>92</v>
      </c>
      <c r="C17" s="9" t="n">
        <v>88</v>
      </c>
      <c r="D17" s="8" t="inlineStr">
        <is>
          <t>Illustrative.</t>
        </is>
      </c>
    </row>
    <row r="18">
      <c r="A18" s="11" t="inlineStr">
        <is>
          <t>Bank balances other than cash equivalents</t>
        </is>
      </c>
      <c r="B18" s="12" t="n">
        <v>35</v>
      </c>
      <c r="C18" s="12" t="n">
        <v>31</v>
      </c>
      <c r="D18" s="11" t="inlineStr">
        <is>
          <t>Illustrative.</t>
        </is>
      </c>
    </row>
    <row r="19">
      <c r="A19" s="8" t="inlineStr">
        <is>
          <t>Other current assets</t>
        </is>
      </c>
      <c r="B19" s="9" t="n">
        <v>88</v>
      </c>
      <c r="C19" s="9" t="n">
        <v>80</v>
      </c>
      <c r="D19" s="8" t="inlineStr">
        <is>
          <t>Illustrative.</t>
        </is>
      </c>
    </row>
    <row r="20">
      <c r="A20" s="17" t="inlineStr">
        <is>
          <t>Total current assets</t>
        </is>
      </c>
      <c r="B20" s="18">
        <f>SUM(B15:B19)</f>
        <v/>
      </c>
      <c r="C20" s="18">
        <f>SUM(C15:C19)</f>
        <v/>
      </c>
      <c r="D20" s="17" t="inlineStr">
        <is>
          <t>Formula.</t>
        </is>
      </c>
    </row>
    <row r="21">
      <c r="A21" s="17" t="inlineStr">
        <is>
          <t>TOTAL ASSETS</t>
        </is>
      </c>
      <c r="B21" s="18">
        <f>B13+B20</f>
        <v/>
      </c>
      <c r="C21" s="18">
        <f>C13+C20</f>
        <v/>
      </c>
      <c r="D21" s="17" t="inlineStr">
        <is>
          <t>Formula.</t>
        </is>
      </c>
    </row>
    <row r="22">
      <c r="A22" s="17" t="inlineStr">
        <is>
          <t>EQUITY AND LIABILITIES</t>
        </is>
      </c>
      <c r="B22" s="18" t="inlineStr"/>
      <c r="C22" s="18" t="inlineStr"/>
      <c r="D22" s="17" t="inlineStr"/>
    </row>
    <row r="23">
      <c r="A23" s="8" t="inlineStr">
        <is>
          <t>Equity share capital</t>
        </is>
      </c>
      <c r="B23" s="9" t="n">
        <v>100</v>
      </c>
      <c r="C23" s="9" t="n">
        <v>100</v>
      </c>
      <c r="D23" s="8" t="inlineStr">
        <is>
          <t>Face value ₹10 per share assumed.</t>
        </is>
      </c>
    </row>
    <row r="24">
      <c r="A24" s="11" t="inlineStr">
        <is>
          <t>Other equity</t>
        </is>
      </c>
      <c r="B24" s="12" t="n">
        <v>700</v>
      </c>
      <c r="C24" s="12" t="n">
        <v>660</v>
      </c>
      <c r="D24" s="11" t="inlineStr">
        <is>
          <t>Illustrative.</t>
        </is>
      </c>
    </row>
    <row r="25">
      <c r="A25" s="17" t="inlineStr">
        <is>
          <t>Total equity</t>
        </is>
      </c>
      <c r="B25" s="18">
        <f>SUM(B23:B24)</f>
        <v/>
      </c>
      <c r="C25" s="18">
        <f>SUM(C23:C24)</f>
        <v/>
      </c>
      <c r="D25" s="17" t="inlineStr">
        <is>
          <t>Formula.</t>
        </is>
      </c>
    </row>
    <row r="26">
      <c r="A26" s="11" t="inlineStr">
        <is>
          <t>Non-current liabilities</t>
        </is>
      </c>
      <c r="B26" s="12" t="inlineStr"/>
      <c r="C26" s="12" t="inlineStr"/>
      <c r="D26" s="11" t="inlineStr"/>
    </row>
    <row r="27">
      <c r="A27" s="8" t="inlineStr">
        <is>
          <t>Borrowings</t>
        </is>
      </c>
      <c r="B27" s="9" t="n">
        <v>180</v>
      </c>
      <c r="C27" s="9" t="n">
        <v>200</v>
      </c>
      <c r="D27" s="8" t="inlineStr">
        <is>
          <t>Illustrative.</t>
        </is>
      </c>
    </row>
    <row r="28">
      <c r="A28" s="11" t="inlineStr">
        <is>
          <t>Lease liabilities</t>
        </is>
      </c>
      <c r="B28" s="12" t="n">
        <v>24</v>
      </c>
      <c r="C28" s="12" t="n">
        <v>26</v>
      </c>
      <c r="D28" s="11" t="inlineStr">
        <is>
          <t>Illustrative.</t>
        </is>
      </c>
    </row>
    <row r="29">
      <c r="A29" s="8" t="inlineStr">
        <is>
          <t>Deferred tax liabilities</t>
        </is>
      </c>
      <c r="B29" s="9" t="n">
        <v>48</v>
      </c>
      <c r="C29" s="9" t="n">
        <v>43</v>
      </c>
      <c r="D29" s="8" t="inlineStr">
        <is>
          <t>Illustrative.</t>
        </is>
      </c>
    </row>
    <row r="30">
      <c r="A30" s="11" t="inlineStr">
        <is>
          <t>Other non-current liabilities</t>
        </is>
      </c>
      <c r="B30" s="12" t="n">
        <v>25</v>
      </c>
      <c r="C30" s="12" t="n">
        <v>24</v>
      </c>
      <c r="D30" s="11" t="inlineStr">
        <is>
          <t>Illustrative.</t>
        </is>
      </c>
    </row>
    <row r="31">
      <c r="A31" s="17" t="inlineStr">
        <is>
          <t>Total non-current liabilities</t>
        </is>
      </c>
      <c r="B31" s="18">
        <f>SUM(B27:B30)</f>
        <v/>
      </c>
      <c r="C31" s="18">
        <f>SUM(C27:C30)</f>
        <v/>
      </c>
      <c r="D31" s="17" t="inlineStr">
        <is>
          <t>Formula.</t>
        </is>
      </c>
    </row>
    <row r="32">
      <c r="A32" s="11" t="inlineStr">
        <is>
          <t>Current liabilities</t>
        </is>
      </c>
      <c r="B32" s="12" t="inlineStr"/>
      <c r="C32" s="12" t="inlineStr"/>
      <c r="D32" s="11" t="inlineStr"/>
    </row>
    <row r="33">
      <c r="A33" s="8" t="inlineStr">
        <is>
          <t>Borrowings</t>
        </is>
      </c>
      <c r="B33" s="9" t="n">
        <v>110</v>
      </c>
      <c r="C33" s="9" t="n">
        <v>115</v>
      </c>
      <c r="D33" s="8" t="inlineStr">
        <is>
          <t>Illustrative.</t>
        </is>
      </c>
    </row>
    <row r="34">
      <c r="A34" s="11" t="inlineStr">
        <is>
          <t>Trade payables</t>
        </is>
      </c>
      <c r="B34" s="12" t="n">
        <v>355</v>
      </c>
      <c r="C34" s="12" t="n">
        <v>320</v>
      </c>
      <c r="D34" s="11" t="inlineStr">
        <is>
          <t>Illustrative.</t>
        </is>
      </c>
    </row>
    <row r="35">
      <c r="A35" s="8" t="inlineStr">
        <is>
          <t>Lease liabilities</t>
        </is>
      </c>
      <c r="B35" s="9" t="n">
        <v>10</v>
      </c>
      <c r="C35" s="9" t="n">
        <v>9</v>
      </c>
      <c r="D35" s="8" t="inlineStr">
        <is>
          <t>Illustrative.</t>
        </is>
      </c>
    </row>
    <row r="36">
      <c r="A36" s="11" t="inlineStr">
        <is>
          <t>Current tax liabilities</t>
        </is>
      </c>
      <c r="B36" s="12" t="n">
        <v>18</v>
      </c>
      <c r="C36" s="12" t="n">
        <v>15</v>
      </c>
      <c r="D36" s="11" t="inlineStr">
        <is>
          <t>Illustrative.</t>
        </is>
      </c>
    </row>
    <row r="37">
      <c r="A37" s="8" t="inlineStr">
        <is>
          <t>Other current liabilities</t>
        </is>
      </c>
      <c r="B37" s="9" t="n">
        <v>110</v>
      </c>
      <c r="C37" s="9" t="n">
        <v>100</v>
      </c>
      <c r="D37" s="8" t="inlineStr">
        <is>
          <t>Illustrative.</t>
        </is>
      </c>
    </row>
    <row r="38">
      <c r="A38" s="17" t="inlineStr">
        <is>
          <t>Total current liabilities</t>
        </is>
      </c>
      <c r="B38" s="18">
        <f>SUM(B33:B37)</f>
        <v/>
      </c>
      <c r="C38" s="18">
        <f>SUM(C33:C37)</f>
        <v/>
      </c>
      <c r="D38" s="17" t="inlineStr">
        <is>
          <t>Formula.</t>
        </is>
      </c>
    </row>
    <row r="39">
      <c r="A39" s="17" t="inlineStr">
        <is>
          <t>TOTAL EQUITY AND LIABILITIES</t>
        </is>
      </c>
      <c r="B39" s="18">
        <f>B25+B31+B38</f>
        <v/>
      </c>
      <c r="C39" s="18">
        <f>C25+C31+C38</f>
        <v/>
      </c>
      <c r="D39" s="17" t="inlineStr">
        <is>
          <t>Should equal total assets; reconcile before use.</t>
        </is>
      </c>
    </row>
    <row r="40">
      <c r="A40" s="17" t="inlineStr">
        <is>
          <t>Balance check</t>
        </is>
      </c>
      <c r="B40" s="18">
        <f>B21-B39</f>
        <v/>
      </c>
      <c r="C40" s="18">
        <f>C21-C39</f>
        <v/>
      </c>
      <c r="D40" s="17" t="inlineStr">
        <is>
          <t>Must be zero after validated input; this fictional sample may require reconciliation.</t>
        </is>
      </c>
    </row>
  </sheetData>
  <mergeCells count="2">
    <mergeCell ref="A1:D1"/>
    <mergeCell ref="A2:D2"/>
  </mergeCells>
  <conditionalFormatting sqref="B40:C40">
    <cfRule type="cellIs" priority="1" operator="notEqual" dxfId="0">
      <formula>0</formula>
    </cfRule>
  </conditionalFormatting>
  <pageMargins left="0.25" right="0.25" top="0.45" bottom="0.45" header="0.5" footer="0.5"/>
  <pageSetup orientation="landscape" fitToHeight="0" fitToWidth="1"/>
  <headerFooter>
    <oddHeader>&amp;C&amp;8 &amp;BSILVERLINE INDUSTRIES LIMITED — FICTIONAL SAMPLE</oddHeader>
    <oddFooter>&amp;R&amp;8 Page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D30"/>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55" customWidth="1" min="1" max="1"/>
    <col width="22" customWidth="1" min="2" max="2"/>
    <col width="22" customWidth="1" min="3" max="3"/>
    <col width="45" customWidth="1" min="4" max="4"/>
  </cols>
  <sheetData>
    <row r="1" ht="30" customHeight="1">
      <c r="A1" s="1" t="inlineStr">
        <is>
          <t>CASH FLOW STATEMENT — ILLUSTRATIVE SUMMARY</t>
        </is>
      </c>
    </row>
    <row r="2" ht="31" customHeight="1">
      <c r="A2" s="2" t="inlineStr">
        <is>
          <t>For the half year ended 30 September 2026 and comparative period | ₹ crore</t>
        </is>
      </c>
    </row>
    <row r="3"/>
    <row r="4" ht="32" customHeight="1">
      <c r="A4" s="7" t="inlineStr">
        <is>
          <t>Particulars</t>
        </is>
      </c>
      <c r="B4" s="7" t="inlineStr">
        <is>
          <t>H1 FY27</t>
        </is>
      </c>
      <c r="C4" s="7" t="inlineStr">
        <is>
          <t>H1 FY26</t>
        </is>
      </c>
      <c r="D4" s="7" t="inlineStr">
        <is>
          <t>Notes / reference</t>
        </is>
      </c>
    </row>
    <row r="5">
      <c r="A5" s="17" t="inlineStr">
        <is>
          <t>A. Cash flows from operating activities</t>
        </is>
      </c>
      <c r="B5" s="18" t="inlineStr"/>
      <c r="C5" s="18" t="inlineStr"/>
      <c r="D5" s="17" t="inlineStr"/>
    </row>
    <row r="6">
      <c r="A6" s="11" t="inlineStr">
        <is>
          <t>Profit before tax</t>
        </is>
      </c>
      <c r="B6" s="12" t="n">
        <v>196.2</v>
      </c>
      <c r="C6" s="12" t="n">
        <v>171.3</v>
      </c>
      <c r="D6" s="11" t="inlineStr">
        <is>
          <t>Illustrative standalone PBT.</t>
        </is>
      </c>
    </row>
    <row r="7">
      <c r="A7" s="8" t="inlineStr">
        <is>
          <t>Adjustments for depreciation and amortisation</t>
        </is>
      </c>
      <c r="B7" s="9" t="n">
        <v>83.7</v>
      </c>
      <c r="C7" s="9" t="n">
        <v>77.09999999999999</v>
      </c>
      <c r="D7" s="8" t="inlineStr">
        <is>
          <t>Illustrative.</t>
        </is>
      </c>
    </row>
    <row r="8">
      <c r="A8" s="11" t="inlineStr">
        <is>
          <t>Finance costs</t>
        </is>
      </c>
      <c r="B8" s="12" t="n">
        <v>31.5</v>
      </c>
      <c r="C8" s="12" t="n">
        <v>29.4</v>
      </c>
      <c r="D8" s="11" t="inlineStr">
        <is>
          <t>Illustrative.</t>
        </is>
      </c>
    </row>
    <row r="9">
      <c r="A9" s="8" t="inlineStr">
        <is>
          <t>Interest income</t>
        </is>
      </c>
      <c r="B9" s="9" t="n">
        <v>-4.2</v>
      </c>
      <c r="C9" s="9" t="n">
        <v>-3.8</v>
      </c>
      <c r="D9" s="8" t="inlineStr">
        <is>
          <t>Illustrative.</t>
        </is>
      </c>
    </row>
    <row r="10">
      <c r="A10" s="11" t="inlineStr">
        <is>
          <t>Other non-cash adjustments</t>
        </is>
      </c>
      <c r="B10" s="12" t="n">
        <v>6</v>
      </c>
      <c r="C10" s="12" t="n">
        <v>4.5</v>
      </c>
      <c r="D10" s="11" t="inlineStr">
        <is>
          <t>Illustrative.</t>
        </is>
      </c>
    </row>
    <row r="11">
      <c r="A11" s="17" t="inlineStr">
        <is>
          <t>Operating profit before working capital changes</t>
        </is>
      </c>
      <c r="B11" s="18">
        <f>SUM(B6:B10)</f>
        <v/>
      </c>
      <c r="C11" s="18">
        <f>SUM(C6:C10)</f>
        <v/>
      </c>
      <c r="D11" s="17" t="inlineStr">
        <is>
          <t>Formula.</t>
        </is>
      </c>
    </row>
    <row r="12">
      <c r="A12" s="11" t="inlineStr">
        <is>
          <t>Changes in working capital</t>
        </is>
      </c>
      <c r="B12" s="12" t="n">
        <v>-28</v>
      </c>
      <c r="C12" s="12" t="n">
        <v>-20</v>
      </c>
      <c r="D12" s="11" t="inlineStr">
        <is>
          <t>Illustrative.</t>
        </is>
      </c>
    </row>
    <row r="13">
      <c r="A13" s="17" t="inlineStr">
        <is>
          <t>Cash generated from operations</t>
        </is>
      </c>
      <c r="B13" s="18">
        <f>B11+B12</f>
        <v/>
      </c>
      <c r="C13" s="18">
        <f>C11+C12</f>
        <v/>
      </c>
      <c r="D13" s="17" t="inlineStr">
        <is>
          <t>Formula.</t>
        </is>
      </c>
    </row>
    <row r="14">
      <c r="A14" s="11" t="inlineStr">
        <is>
          <t>Income taxes paid</t>
        </is>
      </c>
      <c r="B14" s="12" t="n">
        <v>-41</v>
      </c>
      <c r="C14" s="12" t="n">
        <v>-35</v>
      </c>
      <c r="D14" s="11" t="inlineStr">
        <is>
          <t>Illustrative.</t>
        </is>
      </c>
    </row>
    <row r="15">
      <c r="A15" s="17" t="inlineStr">
        <is>
          <t>Net cash from operating activities</t>
        </is>
      </c>
      <c r="B15" s="18">
        <f>B13+B14</f>
        <v/>
      </c>
      <c r="C15" s="18">
        <f>C13+C14</f>
        <v/>
      </c>
      <c r="D15" s="17" t="inlineStr">
        <is>
          <t>Formula.</t>
        </is>
      </c>
    </row>
    <row r="16">
      <c r="A16" s="17" t="inlineStr">
        <is>
          <t>B. Cash flows from investing activities</t>
        </is>
      </c>
      <c r="B16" s="18" t="inlineStr"/>
      <c r="C16" s="18" t="inlineStr"/>
      <c r="D16" s="17" t="inlineStr"/>
    </row>
    <row r="17">
      <c r="A17" s="8" t="inlineStr">
        <is>
          <t>Purchase of PPE and capital work-in-progress</t>
        </is>
      </c>
      <c r="B17" s="9" t="n">
        <v>-92</v>
      </c>
      <c r="C17" s="9" t="n">
        <v>-68</v>
      </c>
      <c r="D17" s="8" t="inlineStr">
        <is>
          <t>Illustrative.</t>
        </is>
      </c>
    </row>
    <row r="18">
      <c r="A18" s="11" t="inlineStr">
        <is>
          <t>Proceeds from sale of PPE</t>
        </is>
      </c>
      <c r="B18" s="12" t="n">
        <v>2.5</v>
      </c>
      <c r="C18" s="12" t="n">
        <v>1</v>
      </c>
      <c r="D18" s="11" t="inlineStr">
        <is>
          <t>Illustrative.</t>
        </is>
      </c>
    </row>
    <row r="19">
      <c r="A19" s="8" t="inlineStr">
        <is>
          <t>Interest received</t>
        </is>
      </c>
      <c r="B19" s="9" t="n">
        <v>4.2</v>
      </c>
      <c r="C19" s="9" t="n">
        <v>3.8</v>
      </c>
      <c r="D19" s="8" t="inlineStr">
        <is>
          <t>Illustrative.</t>
        </is>
      </c>
    </row>
    <row r="20">
      <c r="A20" s="17" t="inlineStr">
        <is>
          <t>Net cash used in investing activities</t>
        </is>
      </c>
      <c r="B20" s="18">
        <f>SUM(B17:B19)</f>
        <v/>
      </c>
      <c r="C20" s="18">
        <f>SUM(C17:C19)</f>
        <v/>
      </c>
      <c r="D20" s="17" t="inlineStr">
        <is>
          <t>Formula.</t>
        </is>
      </c>
    </row>
    <row r="21">
      <c r="A21" s="17" t="inlineStr">
        <is>
          <t>C. Cash flows from financing activities</t>
        </is>
      </c>
      <c r="B21" s="18" t="inlineStr"/>
      <c r="C21" s="18" t="inlineStr"/>
      <c r="D21" s="17" t="inlineStr"/>
    </row>
    <row r="22">
      <c r="A22" s="11" t="inlineStr">
        <is>
          <t>Proceeds from borrowings</t>
        </is>
      </c>
      <c r="B22" s="12" t="n">
        <v>20</v>
      </c>
      <c r="C22" s="12" t="n">
        <v>30</v>
      </c>
      <c r="D22" s="11" t="inlineStr">
        <is>
          <t>Illustrative.</t>
        </is>
      </c>
    </row>
    <row r="23">
      <c r="A23" s="8" t="inlineStr">
        <is>
          <t>Repayment of borrowings</t>
        </is>
      </c>
      <c r="B23" s="9" t="n">
        <v>-45</v>
      </c>
      <c r="C23" s="9" t="n">
        <v>-38</v>
      </c>
      <c r="D23" s="8" t="inlineStr">
        <is>
          <t>Illustrative.</t>
        </is>
      </c>
    </row>
    <row r="24">
      <c r="A24" s="11" t="inlineStr">
        <is>
          <t>Interest paid</t>
        </is>
      </c>
      <c r="B24" s="12" t="n">
        <v>-31.5</v>
      </c>
      <c r="C24" s="12" t="n">
        <v>-29.4</v>
      </c>
      <c r="D24" s="11" t="inlineStr">
        <is>
          <t>Illustrative.</t>
        </is>
      </c>
    </row>
    <row r="25">
      <c r="A25" s="8" t="inlineStr">
        <is>
          <t>Dividend paid</t>
        </is>
      </c>
      <c r="B25" s="9" t="n">
        <v>0</v>
      </c>
      <c r="C25" s="9" t="n">
        <v>0</v>
      </c>
      <c r="D25" s="8" t="inlineStr">
        <is>
          <t>Illustrative; interim dividend timing not reflected here.</t>
        </is>
      </c>
    </row>
    <row r="26">
      <c r="A26" s="11" t="inlineStr">
        <is>
          <t>Lease payments</t>
        </is>
      </c>
      <c r="B26" s="12" t="n">
        <v>-7</v>
      </c>
      <c r="C26" s="12" t="n">
        <v>-6.5</v>
      </c>
      <c r="D26" s="11" t="inlineStr">
        <is>
          <t>Illustrative.</t>
        </is>
      </c>
    </row>
    <row r="27">
      <c r="A27" s="17" t="inlineStr">
        <is>
          <t>Net cash used in financing activities</t>
        </is>
      </c>
      <c r="B27" s="18">
        <f>SUM(B22:B26)</f>
        <v/>
      </c>
      <c r="C27" s="18">
        <f>SUM(C22:C26)</f>
        <v/>
      </c>
      <c r="D27" s="17" t="inlineStr">
        <is>
          <t>Formula.</t>
        </is>
      </c>
    </row>
    <row r="28">
      <c r="A28" s="17" t="inlineStr">
        <is>
          <t>Net increase / (decrease) in cash</t>
        </is>
      </c>
      <c r="B28" s="18">
        <f>B15+B20+B27</f>
        <v/>
      </c>
      <c r="C28" s="18">
        <f>C15+C20+C27</f>
        <v/>
      </c>
      <c r="D28" s="17" t="inlineStr">
        <is>
          <t>Formula.</t>
        </is>
      </c>
    </row>
    <row r="29">
      <c r="A29" s="8" t="inlineStr">
        <is>
          <t>Opening cash and cash equivalents</t>
        </is>
      </c>
      <c r="B29" s="9" t="n">
        <v>88</v>
      </c>
      <c r="C29" s="9" t="n">
        <v>76</v>
      </c>
      <c r="D29" s="8" t="inlineStr">
        <is>
          <t>Illustrative.</t>
        </is>
      </c>
    </row>
    <row r="30">
      <c r="A30" s="17" t="inlineStr">
        <is>
          <t>Closing cash and cash equivalents</t>
        </is>
      </c>
      <c r="B30" s="18">
        <f>B28+B29</f>
        <v/>
      </c>
      <c r="C30" s="18">
        <f>C28+C29</f>
        <v/>
      </c>
      <c r="D30" s="17" t="inlineStr">
        <is>
          <t>Should reconcile to balance sheet cash; investigate any difference.</t>
        </is>
      </c>
    </row>
  </sheetData>
  <mergeCells count="2">
    <mergeCell ref="A1:D1"/>
    <mergeCell ref="A2:D2"/>
  </mergeCells>
  <pageMargins left="0.25" right="0.25" top="0.45" bottom="0.45" header="0.5" footer="0.5"/>
  <pageSetup orientation="landscape" fitToHeight="0" fitToWidth="1"/>
  <headerFooter>
    <oddHeader>&amp;C&amp;8 &amp;BSILVERLINE INDUSTRIES LIMITED — FICTIONAL SAMPLE</oddHeader>
    <oddFooter>&amp;R&amp;8 Page &amp;P of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16"/>
  <sheetViews>
    <sheetView showGridLines="0" zoomScale="90" workbookViewId="0">
      <pane ySplit="4" topLeftCell="A5" activePane="bottomLeft" state="frozen"/>
      <selection pane="bottomLeft" activeCell="A1" sqref="A1"/>
    </sheetView>
  </sheetViews>
  <sheetFormatPr baseColWidth="8" defaultRowHeight="15"/>
  <cols>
    <col width="8" customWidth="1" min="1" max="1"/>
    <col width="32" customWidth="1" min="2" max="2"/>
    <col width="75" customWidth="1" min="3" max="3"/>
    <col width="28" customWidth="1" min="4" max="4"/>
  </cols>
  <sheetData>
    <row r="1" ht="30" customHeight="1">
      <c r="A1" s="1" t="inlineStr">
        <is>
          <t>NOTES TO FINANCIAL RESULTS</t>
        </is>
      </c>
    </row>
    <row r="2" ht="31" customHeight="1">
      <c r="A2" s="2" t="inlineStr">
        <is>
          <t>Illustrative notes to accompany the management results workbook; all narrative is fictional</t>
        </is>
      </c>
    </row>
    <row r="3"/>
    <row r="4" ht="32" customHeight="1">
      <c r="A4" s="7" t="inlineStr">
        <is>
          <t>Note</t>
        </is>
      </c>
      <c r="B4" s="7" t="inlineStr">
        <is>
          <t>Topic</t>
        </is>
      </c>
      <c r="C4" s="7" t="inlineStr">
        <is>
          <t>Illustrative disclosure / explanation</t>
        </is>
      </c>
      <c r="D4" s="7" t="inlineStr">
        <is>
          <t>Owner / source</t>
        </is>
      </c>
    </row>
    <row r="5">
      <c r="A5" s="8" t="inlineStr">
        <is>
          <t>1</t>
        </is>
      </c>
      <c r="B5" s="8" t="inlineStr">
        <is>
          <t>Basis of preparation</t>
        </is>
      </c>
      <c r="C5" s="8" t="inlineStr">
        <is>
          <t>These illustrative unaudited standalone financial results have been prepared for demonstration purposes only. Actual results should be prepared under applicable Indian Accounting Standards (Ind AS), the Companies Act, 2013 and relevant SEBI LODR requirements, as applicable.</t>
        </is>
      </c>
      <c r="D5" s="8" t="inlineStr">
        <is>
          <t>Finance / Controller</t>
        </is>
      </c>
    </row>
    <row r="6">
      <c r="A6" s="11" t="inlineStr">
        <is>
          <t>2</t>
        </is>
      </c>
      <c r="B6" s="11" t="inlineStr">
        <is>
          <t>Reporting entity</t>
        </is>
      </c>
      <c r="C6" s="11" t="inlineStr">
        <is>
          <t>Silverline Industries Limited is a fictional Indian industrial company. The workbook assumes a 30 September 2026 reporting date and comparative periods ending 30 September 2025.</t>
        </is>
      </c>
      <c r="D6" s="11" t="inlineStr">
        <is>
          <t>Company Secretary / Finance</t>
        </is>
      </c>
    </row>
    <row r="7">
      <c r="A7" s="8" t="inlineStr">
        <is>
          <t>3</t>
        </is>
      </c>
      <c r="B7" s="8" t="inlineStr">
        <is>
          <t>Accounting policies</t>
        </is>
      </c>
      <c r="C7" s="8" t="inlineStr">
        <is>
          <t>No actual accounting policy elections or estimates are represented. A real filing should include material accounting policy information and disclosures required by applicable standards and regulations.</t>
        </is>
      </c>
      <c r="D7" s="8" t="inlineStr">
        <is>
          <t>Finance / Auditor</t>
        </is>
      </c>
    </row>
    <row r="8">
      <c r="A8" s="11" t="inlineStr">
        <is>
          <t>4</t>
        </is>
      </c>
      <c r="B8" s="11" t="inlineStr">
        <is>
          <t>Segment reporting</t>
        </is>
      </c>
      <c r="C8" s="11" t="inlineStr">
        <is>
          <t>The segment schedule uses three illustrative segments. Actual operating segments should be identified based on the chief operating decision maker’s review and the applicable reporting framework.</t>
        </is>
      </c>
      <c r="D8" s="11" t="inlineStr">
        <is>
          <t>Finance</t>
        </is>
      </c>
    </row>
    <row r="9">
      <c r="A9" s="8" t="inlineStr">
        <is>
          <t>5</t>
        </is>
      </c>
      <c r="B9" s="8" t="inlineStr">
        <is>
          <t>Related parties</t>
        </is>
      </c>
      <c r="C9" s="8" t="inlineStr">
        <is>
          <t>Any actual related-party disclosures should be based on verified relationships, transactions, balances, terms and applicable disclosure requirements.</t>
        </is>
      </c>
      <c r="D9" s="8" t="inlineStr">
        <is>
          <t>Finance / Legal</t>
        </is>
      </c>
    </row>
    <row r="10">
      <c r="A10" s="11" t="inlineStr">
        <is>
          <t>6</t>
        </is>
      </c>
      <c r="B10" s="11" t="inlineStr">
        <is>
          <t>Exceptional items</t>
        </is>
      </c>
      <c r="C10" s="11" t="inlineStr">
        <is>
          <t>No exceptional items are assumed in the sample periods. Actual events must be assessed and disclosed according to applicable standards and requirements.</t>
        </is>
      </c>
      <c r="D10" s="11" t="inlineStr">
        <is>
          <t>Finance / Legal</t>
        </is>
      </c>
    </row>
    <row r="11">
      <c r="A11" s="8" t="inlineStr">
        <is>
          <t>7</t>
        </is>
      </c>
      <c r="B11" s="8" t="inlineStr">
        <is>
          <t>Contingent liabilities and commitments</t>
        </is>
      </c>
      <c r="C11" s="8" t="inlineStr">
        <is>
          <t>No amount is populated in this sample. Actual disclosure should be sourced from legal, tax, treasury and operating teams and reconciled to the financial statements.</t>
        </is>
      </c>
      <c r="D11" s="8" t="inlineStr">
        <is>
          <t>Finance / Legal</t>
        </is>
      </c>
    </row>
    <row r="12">
      <c r="A12" s="11" t="inlineStr">
        <is>
          <t>8</t>
        </is>
      </c>
      <c r="B12" s="11" t="inlineStr">
        <is>
          <t>Dividend</t>
        </is>
      </c>
      <c r="C12" s="11" t="inlineStr">
        <is>
          <t>The earlier fictional Board sample stated an interim dividend of ₹1.50 per equity share. This workbook does not evidence an actual declaration or calculate actual dividend payable; use only after verifying approved records.</t>
        </is>
      </c>
      <c r="D12" s="11" t="inlineStr">
        <is>
          <t>Company Secretary / Finance</t>
        </is>
      </c>
    </row>
    <row r="13">
      <c r="A13" s="8" t="inlineStr">
        <is>
          <t>9</t>
        </is>
      </c>
      <c r="B13" s="8" t="inlineStr">
        <is>
          <t>Capital expenditure</t>
        </is>
      </c>
      <c r="C13" s="8" t="inlineStr">
        <is>
          <t>The earlier fictional Board sample included a capex envelope of up to ₹48 crore. Actual commitments, additions to PPE, CWIP and cash flows must be separately reconciled.</t>
        </is>
      </c>
      <c r="D13" s="8" t="inlineStr">
        <is>
          <t>Finance / COO</t>
        </is>
      </c>
    </row>
    <row r="14">
      <c r="A14" s="11" t="inlineStr">
        <is>
          <t>10</t>
        </is>
      </c>
      <c r="B14" s="11" t="inlineStr">
        <is>
          <t>Auditor’s review</t>
        </is>
      </c>
      <c r="C14" s="11" t="inlineStr">
        <is>
          <t>No auditor’s report is included in this workbook. A real filing should include the signed limited review report / audit report as required and reproduce any qualifications or emphasis-of-matter accurately.</t>
        </is>
      </c>
      <c r="D14" s="11" t="inlineStr">
        <is>
          <t>Statutory auditor</t>
        </is>
      </c>
    </row>
    <row r="15">
      <c r="A15" s="8" t="inlineStr">
        <is>
          <t>11</t>
        </is>
      </c>
      <c r="B15" s="8" t="inlineStr">
        <is>
          <t>EPS</t>
        </is>
      </c>
      <c r="C15" s="8" t="inlineStr">
        <is>
          <t>EPS formulas assume weighted-average shares of 10 crore and no dilutive instruments. Actual EPS must be calculated using the applicable standard and verified share data.</t>
        </is>
      </c>
      <c r="D15" s="8" t="inlineStr">
        <is>
          <t>Finance</t>
        </is>
      </c>
    </row>
    <row r="16">
      <c r="A16" s="11" t="inlineStr">
        <is>
          <t>12</t>
        </is>
      </c>
      <c r="B16" s="11" t="inlineStr">
        <is>
          <t>Subsequent events</t>
        </is>
      </c>
      <c r="C16" s="11" t="inlineStr">
        <is>
          <t>Assess events after the reporting period through the date the financial statements are approved, and disclose as required by the applicable reporting framework.</t>
        </is>
      </c>
      <c r="D16" s="11" t="inlineStr">
        <is>
          <t>Finance / Legal</t>
        </is>
      </c>
    </row>
  </sheetData>
  <mergeCells count="2">
    <mergeCell ref="A1:D1"/>
    <mergeCell ref="A2:D2"/>
  </mergeCells>
  <pageMargins left="0.25" right="0.25" top="0.45" bottom="0.45" header="0.5" footer="0.5"/>
  <pageSetup orientation="landscape" fitToHeight="0" fitToWidth="1"/>
  <headerFooter>
    <oddHeader>&amp;C&amp;8 &amp;BSILVERLINE INDUSTRIES LIMITED — FICTIONAL SAMPLE</oddHeader>
    <oddFooter>&amp;R&amp;8 Page &amp;P of &amp;N</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F21"/>
  <sheetViews>
    <sheetView showGridLines="0" zoomScale="90" workbookViewId="0">
      <pane ySplit="4" topLeftCell="A5" activePane="bottomLeft" state="frozen"/>
      <selection pane="bottomLeft" activeCell="A1" sqref="A1"/>
    </sheetView>
  </sheetViews>
  <sheetFormatPr baseColWidth="8" defaultRowHeight="15"/>
  <cols>
    <col width="12" customWidth="1" min="1" max="1"/>
    <col width="52" customWidth="1" min="2" max="2"/>
    <col width="36" customWidth="1" min="3" max="3"/>
    <col width="25" customWidth="1" min="4" max="4"/>
    <col width="18" customWidth="1" min="5" max="5"/>
    <col width="40" customWidth="1" min="6" max="6"/>
  </cols>
  <sheetData>
    <row r="1" ht="30" customHeight="1">
      <c r="A1" s="1" t="inlineStr">
        <is>
          <t>FINANCIAL RESULTS — REVIEW &amp; FILING CHECKLIST</t>
        </is>
      </c>
    </row>
    <row r="2" ht="31" customHeight="1">
      <c r="A2" s="2" t="inlineStr">
        <is>
          <t>Control checklist for Finance, auditor and Company Secretary review before any real filing</t>
        </is>
      </c>
    </row>
    <row r="3"/>
    <row r="4" ht="32" customHeight="1">
      <c r="A4" s="7" t="inlineStr">
        <is>
          <t>Control ID</t>
        </is>
      </c>
      <c r="B4" s="7" t="inlineStr">
        <is>
          <t>Check</t>
        </is>
      </c>
      <c r="C4" s="7" t="inlineStr">
        <is>
          <t>Evidence / source</t>
        </is>
      </c>
      <c r="D4" s="7" t="inlineStr">
        <is>
          <t>Owner</t>
        </is>
      </c>
      <c r="E4" s="7" t="inlineStr">
        <is>
          <t>Status</t>
        </is>
      </c>
      <c r="F4" s="7" t="inlineStr">
        <is>
          <t>Reviewer comments</t>
        </is>
      </c>
    </row>
    <row r="5">
      <c r="A5" s="8" t="inlineStr">
        <is>
          <t>FR-01</t>
        </is>
      </c>
      <c r="B5" s="8" t="inlineStr">
        <is>
          <t>Confirm legal entity, CIN, exchange symbols and reporting perimeter.</t>
        </is>
      </c>
      <c r="C5" s="8" t="inlineStr">
        <is>
          <t>Company master / exchange records</t>
        </is>
      </c>
      <c r="D5" s="8" t="inlineStr">
        <is>
          <t>Company Secretary</t>
        </is>
      </c>
      <c r="E5" s="8" t="inlineStr">
        <is>
          <t>Not started</t>
        </is>
      </c>
      <c r="F5" s="8" t="inlineStr"/>
    </row>
    <row r="6">
      <c r="A6" s="11" t="inlineStr">
        <is>
          <t>FR-02</t>
        </is>
      </c>
      <c r="B6" s="11" t="inlineStr">
        <is>
          <t>Reconcile trial balance and financial statement schedules to the general ledger.</t>
        </is>
      </c>
      <c r="C6" s="11" t="inlineStr">
        <is>
          <t>Final TB and lead schedules</t>
        </is>
      </c>
      <c r="D6" s="11" t="inlineStr">
        <is>
          <t>Finance Controller</t>
        </is>
      </c>
      <c r="E6" s="11" t="inlineStr">
        <is>
          <t>Not started</t>
        </is>
      </c>
      <c r="F6" s="11" t="inlineStr"/>
    </row>
    <row r="7">
      <c r="A7" s="8" t="inlineStr">
        <is>
          <t>FR-03</t>
        </is>
      </c>
      <c r="B7" s="8" t="inlineStr">
        <is>
          <t>Verify comparative periods, reporting dates and units.</t>
        </is>
      </c>
      <c r="C7" s="8" t="inlineStr">
        <is>
          <t>Approved reporting calendar</t>
        </is>
      </c>
      <c r="D7" s="8" t="inlineStr">
        <is>
          <t>Finance Controller</t>
        </is>
      </c>
      <c r="E7" s="8" t="inlineStr">
        <is>
          <t>Not started</t>
        </is>
      </c>
      <c r="F7" s="8" t="inlineStr"/>
    </row>
    <row r="8">
      <c r="A8" s="11" t="inlineStr">
        <is>
          <t>FR-04</t>
        </is>
      </c>
      <c r="B8" s="11" t="inlineStr">
        <is>
          <t>Confirm standalone and consolidated statements and consolidation adjustments.</t>
        </is>
      </c>
      <c r="C8" s="11" t="inlineStr">
        <is>
          <t>Consolidation pack / subsidiary reporting</t>
        </is>
      </c>
      <c r="D8" s="11" t="inlineStr">
        <is>
          <t>Group Finance</t>
        </is>
      </c>
      <c r="E8" s="11" t="inlineStr">
        <is>
          <t>Not started</t>
        </is>
      </c>
      <c r="F8" s="11" t="inlineStr"/>
    </row>
    <row r="9">
      <c r="A9" s="8" t="inlineStr">
        <is>
          <t>FR-05</t>
        </is>
      </c>
      <c r="B9" s="8" t="inlineStr">
        <is>
          <t>Verify total income, expenses, PBT, tax, PAT, OCI and total comprehensive income.</t>
        </is>
      </c>
      <c r="C9" s="8" t="inlineStr">
        <is>
          <t>Financial statement workings</t>
        </is>
      </c>
      <c r="D9" s="8" t="inlineStr">
        <is>
          <t>Finance Controller</t>
        </is>
      </c>
      <c r="E9" s="8" t="inlineStr">
        <is>
          <t>Not started</t>
        </is>
      </c>
      <c r="F9" s="8" t="inlineStr"/>
    </row>
    <row r="10">
      <c r="A10" s="11" t="inlineStr">
        <is>
          <t>FR-06</t>
        </is>
      </c>
      <c r="B10" s="11" t="inlineStr">
        <is>
          <t>Reconcile segment information and related disclosures to actual operating segments.</t>
        </is>
      </c>
      <c r="C10" s="11" t="inlineStr">
        <is>
          <t>Segment reporting pack</t>
        </is>
      </c>
      <c r="D10" s="11" t="inlineStr">
        <is>
          <t>Finance / Business Heads</t>
        </is>
      </c>
      <c r="E10" s="11" t="inlineStr">
        <is>
          <t>Not started</t>
        </is>
      </c>
      <c r="F10" s="11" t="inlineStr"/>
    </row>
    <row r="11">
      <c r="A11" s="8" t="inlineStr">
        <is>
          <t>FR-07</t>
        </is>
      </c>
      <c r="B11" s="8" t="inlineStr">
        <is>
          <t>Verify balance sheet totals, classification and comparative balances.</t>
        </is>
      </c>
      <c r="C11" s="8" t="inlineStr">
        <is>
          <t>Balance sheet reconciliations</t>
        </is>
      </c>
      <c r="D11" s="8" t="inlineStr">
        <is>
          <t>Finance Controller</t>
        </is>
      </c>
      <c r="E11" s="8" t="inlineStr">
        <is>
          <t>Not started</t>
        </is>
      </c>
      <c r="F11" s="8" t="inlineStr"/>
    </row>
    <row r="12">
      <c r="A12" s="11" t="inlineStr">
        <is>
          <t>FR-08</t>
        </is>
      </c>
      <c r="B12" s="11" t="inlineStr">
        <is>
          <t>Reconcile cash flow statement to cash balances and cash flow working papers.</t>
        </is>
      </c>
      <c r="C12" s="11" t="inlineStr">
        <is>
          <t>Cash flow workings / bank reconciliations</t>
        </is>
      </c>
      <c r="D12" s="11" t="inlineStr">
        <is>
          <t>Treasury / Finance</t>
        </is>
      </c>
      <c r="E12" s="11" t="inlineStr">
        <is>
          <t>Not started</t>
        </is>
      </c>
      <c r="F12" s="11" t="inlineStr"/>
    </row>
    <row r="13">
      <c r="A13" s="8" t="inlineStr">
        <is>
          <t>FR-09</t>
        </is>
      </c>
      <c r="B13" s="8" t="inlineStr">
        <is>
          <t>Recalculate basic and diluted EPS using applicable standard and weighted-average shares.</t>
        </is>
      </c>
      <c r="C13" s="8" t="inlineStr">
        <is>
          <t>Share register / EPS calculation</t>
        </is>
      </c>
      <c r="D13" s="8" t="inlineStr">
        <is>
          <t>Finance Controller</t>
        </is>
      </c>
      <c r="E13" s="8" t="inlineStr">
        <is>
          <t>Not started</t>
        </is>
      </c>
      <c r="F13" s="8" t="inlineStr"/>
    </row>
    <row r="14">
      <c r="A14" s="11" t="inlineStr">
        <is>
          <t>FR-10</t>
        </is>
      </c>
      <c r="B14" s="11" t="inlineStr">
        <is>
          <t>Complete related-party, contingent liability, commitments and subsequent-event assessments.</t>
        </is>
      </c>
      <c r="C14" s="11" t="inlineStr">
        <is>
          <t>Legal, tax, treasury and RPT registers</t>
        </is>
      </c>
      <c r="D14" s="11" t="inlineStr">
        <is>
          <t>Finance / Legal</t>
        </is>
      </c>
      <c r="E14" s="11" t="inlineStr">
        <is>
          <t>Not started</t>
        </is>
      </c>
      <c r="F14" s="11" t="inlineStr"/>
    </row>
    <row r="15">
      <c r="A15" s="8" t="inlineStr">
        <is>
          <t>FR-11</t>
        </is>
      </c>
      <c r="B15" s="8" t="inlineStr">
        <is>
          <t>Obtain Audit Committee review / recommendation, where applicable.</t>
        </is>
      </c>
      <c r="C15" s="8" t="inlineStr">
        <is>
          <t>Committee minutes / recommendation</t>
        </is>
      </c>
      <c r="D15" s="8" t="inlineStr">
        <is>
          <t>Company Secretary</t>
        </is>
      </c>
      <c r="E15" s="8" t="inlineStr">
        <is>
          <t>Not started</t>
        </is>
      </c>
      <c r="F15" s="8" t="inlineStr"/>
    </row>
    <row r="16">
      <c r="A16" s="11" t="inlineStr">
        <is>
          <t>FR-12</t>
        </is>
      </c>
      <c r="B16" s="11" t="inlineStr">
        <is>
          <t>Obtain signed limited review / audit report and reflect report wording accurately.</t>
        </is>
      </c>
      <c r="C16" s="11" t="inlineStr">
        <is>
          <t>Signed auditor report</t>
        </is>
      </c>
      <c r="D16" s="11" t="inlineStr">
        <is>
          <t>Statutory auditor</t>
        </is>
      </c>
      <c r="E16" s="11" t="inlineStr">
        <is>
          <t>Not started</t>
        </is>
      </c>
      <c r="F16" s="11" t="inlineStr"/>
    </row>
    <row r="17">
      <c r="A17" s="8" t="inlineStr">
        <is>
          <t>FR-13</t>
        </is>
      </c>
      <c r="B17" s="8" t="inlineStr">
        <is>
          <t>Obtain Board approval and confirm resolution matches final statements.</t>
        </is>
      </c>
      <c r="C17" s="8" t="inlineStr">
        <is>
          <t>Board minutes / resolution</t>
        </is>
      </c>
      <c r="D17" s="8" t="inlineStr">
        <is>
          <t>Company Secretary</t>
        </is>
      </c>
      <c r="E17" s="8" t="inlineStr">
        <is>
          <t>Not started</t>
        </is>
      </c>
      <c r="F17" s="8" t="inlineStr"/>
    </row>
    <row r="18">
      <c r="A18" s="11" t="inlineStr">
        <is>
          <t>FR-14</t>
        </is>
      </c>
      <c r="B18" s="11" t="inlineStr">
        <is>
          <t>Prepare prescribed exchange format / XBRL and validate all required fields.</t>
        </is>
      </c>
      <c r="C18" s="11" t="inlineStr">
        <is>
          <t>Current exchange filing format</t>
        </is>
      </c>
      <c r="D18" s="11" t="inlineStr">
        <is>
          <t>Compliance / Finance</t>
        </is>
      </c>
      <c r="E18" s="11" t="inlineStr">
        <is>
          <t>Not started</t>
        </is>
      </c>
      <c r="F18" s="11" t="inlineStr"/>
    </row>
    <row r="19">
      <c r="A19" s="8" t="inlineStr">
        <is>
          <t>FR-15</t>
        </is>
      </c>
      <c r="B19" s="8" t="inlineStr">
        <is>
          <t>Verify applicable filing deadline and submit to each required exchange.</t>
        </is>
      </c>
      <c r="C19" s="8" t="inlineStr">
        <is>
          <t>Regulatory calendar / exchange portal</t>
        </is>
      </c>
      <c r="D19" s="8" t="inlineStr">
        <is>
          <t>Company Secretary</t>
        </is>
      </c>
      <c r="E19" s="8" t="inlineStr">
        <is>
          <t>Not started</t>
        </is>
      </c>
      <c r="F19" s="8" t="inlineStr"/>
    </row>
    <row r="20">
      <c r="A20" s="11" t="inlineStr">
        <is>
          <t>FR-16</t>
        </is>
      </c>
      <c r="B20" s="11" t="inlineStr">
        <is>
          <t>Retain acknowledgements and publish website copy where required.</t>
        </is>
      </c>
      <c r="C20" s="11" t="inlineStr">
        <is>
          <t>Exchange acknowledgements / website archive</t>
        </is>
      </c>
      <c r="D20" s="11" t="inlineStr">
        <is>
          <t>Compliance / IR</t>
        </is>
      </c>
      <c r="E20" s="11" t="inlineStr">
        <is>
          <t>Not started</t>
        </is>
      </c>
      <c r="F20" s="11" t="inlineStr"/>
    </row>
    <row r="21">
      <c r="A21" s="8" t="inlineStr">
        <is>
          <t>FR-17</t>
        </is>
      </c>
      <c r="B21" s="8" t="inlineStr">
        <is>
          <t>Remove fictional labels, placeholders and all unverified figures from actual filing pack.</t>
        </is>
      </c>
      <c r="C21" s="8" t="inlineStr">
        <is>
          <t>Final proofread version</t>
        </is>
      </c>
      <c r="D21" s="8" t="inlineStr">
        <is>
          <t>Independent reviewer</t>
        </is>
      </c>
      <c r="E21" s="8" t="inlineStr">
        <is>
          <t>Not started</t>
        </is>
      </c>
      <c r="F21" s="8" t="inlineStr"/>
    </row>
  </sheetData>
  <autoFilter ref="A4:F21"/>
  <mergeCells count="2">
    <mergeCell ref="A2:F2"/>
    <mergeCell ref="A1:F1"/>
  </mergeCells>
  <dataValidations count="1">
    <dataValidation sqref="E5:E21" showDropDown="0" showInputMessage="0" showErrorMessage="0" allowBlank="1" type="list">
      <formula1>"Not started,In progress,Complete,Not applicable,Exception"</formula1>
    </dataValidation>
  </dataValidations>
  <pageMargins left="0.25" right="0.25" top="0.45" bottom="0.45" header="0.5" footer="0.5"/>
  <pageSetup orientation="landscape" fitToHeight="0" fitToWidth="1"/>
  <headerFooter>
    <oddHeader>&amp;C&amp;8 &amp;BSILVERLINE INDUSTRIES LIMITED — FICTIONAL SAMPLE</oddHeader>
    <oddFooter>&amp;R&amp;8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Silverline Industries Limited — Financial Results Q2/H1 FY2026-27</dc:title>
  <dc:description xmlns:dc="http://purl.org/dc/elements/1.1/">Fictional illustrative figures only; not for filing or investment reliance.</dc:description>
  <dc:subject xmlns:dc="http://purl.org/dc/elements/1.1/">Illustrative standalone and consolidated financial results workbook</dc:subject>
  <dcterms:created xmlns:dcterms="http://purl.org/dc/terms/" xmlns:xsi="http://www.w3.org/2001/XMLSchema-instance" xsi:type="dcterms:W3CDTF">2026-10-23T08:40:48Z</dcterms:created>
  <dcterms:modified xmlns:dcterms="http://purl.org/dc/terms/" xmlns:xsi="http://www.w3.org/2001/XMLSchema-instance" xsi:type="dcterms:W3CDTF">2026-10-23T08:40:48Z</dcterms:modified>
</cp:coreProperties>
</file>